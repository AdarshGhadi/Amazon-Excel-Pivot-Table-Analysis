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Ragini Sunil Rane\Documents\"/>
    </mc:Choice>
  </mc:AlternateContent>
  <xr:revisionPtr revIDLastSave="0" documentId="8_{9A38E374-A89D-4500-A343-73693301F174}" xr6:coauthVersionLast="47" xr6:coauthVersionMax="47" xr10:uidLastSave="{00000000-0000-0000-0000-000000000000}"/>
  <bookViews>
    <workbookView xWindow="-108" yWindow="-108" windowWidth="23256" windowHeight="12456" xr2:uid="{00000000-000D-0000-FFFF-FFFF00000000}"/>
  </bookViews>
  <sheets>
    <sheet name="Pivot_Table" sheetId="2" r:id="rId1"/>
    <sheet name="Dataset" sheetId="1" r:id="rId2"/>
  </sheets>
  <definedNames>
    <definedName name="Slicer_Category">#N/A</definedName>
    <definedName name="Slicer_Region">#N/A</definedName>
    <definedName name="Slicer_Segment">#N/A</definedName>
  </definedNames>
  <calcPr calcId="191029"/>
  <pivotCaches>
    <pivotCache cacheId="12"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 i="1"/>
</calcChain>
</file>

<file path=xl/sharedStrings.xml><?xml version="1.0" encoding="utf-8"?>
<sst xmlns="http://schemas.openxmlformats.org/spreadsheetml/2006/main" count="2043" uniqueCount="527">
  <si>
    <t>Order ID</t>
  </si>
  <si>
    <t>Order Date</t>
  </si>
  <si>
    <t>Category</t>
  </si>
  <si>
    <t>Region</t>
  </si>
  <si>
    <t>Segment</t>
  </si>
  <si>
    <t>Quantity</t>
  </si>
  <si>
    <t>Sales</t>
  </si>
  <si>
    <t>Profit</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</si>
  <si>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</si>
  <si>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</si>
  <si>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</si>
  <si>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</si>
  <si>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</si>
  <si>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</si>
  <si>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</si>
  <si>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</si>
  <si>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</si>
  <si>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</si>
  <si>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</si>
  <si>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</si>
  <si>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</si>
  <si>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</si>
  <si>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</si>
  <si>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</si>
  <si>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</si>
  <si>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</si>
  <si>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</si>
  <si>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</si>
  <si>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</si>
  <si>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</si>
  <si>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</si>
  <si>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</si>
  <si>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</si>
  <si>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</si>
  <si>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</si>
  <si>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</si>
  <si>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</si>
  <si>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</si>
  <si>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</si>
  <si>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</si>
  <si>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</si>
  <si>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</si>
  <si>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</si>
  <si>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</si>
  <si>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</si>
  <si>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</si>
  <si>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</si>
  <si>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</si>
  <si>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</si>
  <si>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</si>
  <si>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</si>
  <si>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</si>
  <si>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</si>
  <si>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</si>
  <si>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</si>
  <si>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</si>
  <si>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</si>
  <si>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</si>
  <si>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</si>
  <si>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</si>
  <si>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</si>
  <si>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</si>
  <si>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</si>
  <si>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</si>
  <si>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</si>
  <si>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</si>
  <si>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</si>
  <si>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</si>
  <si>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</si>
  <si>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</si>
  <si>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</si>
  <si>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</si>
  <si>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</si>
  <si>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</si>
  <si>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</si>
  <si>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</si>
  <si>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</si>
  <si>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</si>
  <si>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</si>
  <si>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</si>
  <si>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</si>
  <si>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</si>
  <si>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</si>
  <si>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</si>
  <si>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</si>
  <si>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</si>
  <si>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</si>
  <si>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</si>
  <si>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</si>
  <si>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</si>
  <si>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</si>
  <si>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</si>
  <si>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</si>
  <si>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</si>
  <si>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</si>
  <si>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</si>
  <si>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</si>
  <si>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</si>
  <si>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</si>
  <si>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</si>
  <si>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</si>
  <si>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</si>
  <si>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</si>
  <si>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</si>
  <si>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</si>
  <si>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</si>
  <si>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</si>
  <si>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</si>
  <si>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</si>
  <si>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</si>
  <si>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</si>
  <si>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</si>
  <si>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</si>
  <si>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</si>
  <si>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</si>
  <si>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</si>
  <si>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</si>
  <si>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</si>
  <si>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</si>
  <si>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</si>
  <si>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</si>
  <si>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</si>
  <si>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</si>
  <si>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</si>
  <si>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</si>
  <si>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</si>
  <si>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</si>
  <si>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</si>
  <si>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</si>
  <si>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</si>
  <si>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</si>
  <si>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</si>
  <si>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</si>
  <si>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</si>
  <si>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</si>
  <si>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</si>
  <si>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</si>
  <si>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</si>
  <si>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</si>
  <si>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</si>
  <si>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</si>
  <si>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</si>
  <si>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</si>
  <si>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</si>
  <si>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</si>
  <si>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</si>
  <si>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</si>
  <si>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</si>
  <si>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</si>
  <si>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</si>
  <si>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</si>
  <si>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</si>
  <si>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</si>
  <si>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</si>
  <si>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</si>
  <si>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</si>
  <si>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</si>
  <si>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</si>
  <si>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</si>
  <si>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</si>
  <si>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</si>
  <si>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</si>
  <si>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</si>
  <si>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</si>
  <si>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</si>
  <si>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</si>
  <si>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</si>
  <si>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</si>
  <si>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</si>
  <si>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</si>
  <si>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</si>
  <si>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</si>
  <si>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</si>
  <si>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</si>
  <si>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</si>
  <si>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</si>
  <si>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</si>
  <si>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</si>
  <si>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</si>
  <si>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</si>
  <si>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</si>
  <si>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</si>
  <si>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</si>
  <si>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</si>
  <si>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</si>
  <si>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</si>
  <si>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</si>
  <si>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</si>
  <si>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</si>
  <si>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</si>
  <si>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</si>
  <si>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</si>
  <si>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</si>
  <si>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</si>
  <si>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</si>
  <si>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</si>
  <si>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</si>
  <si>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</si>
  <si>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</si>
  <si>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</si>
  <si>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</si>
  <si>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</si>
  <si>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</si>
  <si>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</si>
  <si>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</si>
  <si>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</si>
  <si>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</si>
  <si>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</si>
  <si>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</si>
  <si>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</si>
  <si>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</si>
  <si>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</si>
  <si>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</si>
  <si>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</si>
  <si>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</si>
  <si>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</si>
  <si>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</si>
  <si>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</si>
  <si>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</si>
  <si>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</si>
  <si>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</si>
  <si>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</si>
  <si>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</si>
  <si>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</si>
  <si>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</si>
  <si>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</si>
  <si>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</si>
  <si>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</si>
  <si>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</si>
  <si>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</si>
  <si>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</si>
  <si>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</si>
  <si>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</si>
  <si>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</si>
  <si>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</si>
  <si>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</si>
  <si>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</si>
  <si>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</si>
  <si>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</si>
  <si>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</si>
  <si>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</si>
  <si>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</si>
  <si>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</si>
  <si>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</si>
  <si>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</si>
  <si>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</si>
  <si>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</si>
  <si>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</si>
  <si>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</si>
  <si>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</si>
  <si>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</si>
  <si>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</si>
  <si>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</si>
  <si>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</si>
  <si>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</si>
  <si>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</si>
  <si>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</si>
  <si>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</si>
  <si>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</si>
  <si>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</si>
  <si>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</si>
  <si>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</si>
  <si>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</si>
  <si>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</si>
  <si>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</si>
  <si>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</si>
  <si>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</si>
  <si>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</si>
  <si>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</si>
  <si>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</si>
  <si>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</si>
  <si>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</si>
  <si>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</si>
  <si>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</si>
  <si>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</si>
  <si>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</si>
  <si>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</si>
  <si>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</si>
  <si>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</si>
  <si>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</si>
  <si>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</si>
  <si>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</si>
  <si>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</si>
  <si>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</si>
  <si>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</si>
  <si>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</si>
  <si>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</si>
  <si>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</si>
  <si>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</si>
  <si>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</si>
  <si>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</si>
  <si>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</si>
  <si>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</si>
  <si>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</si>
  <si>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</si>
  <si>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</si>
  <si>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</si>
  <si>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</si>
  <si>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</si>
  <si>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</si>
  <si>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</si>
  <si>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</si>
  <si>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</si>
  <si>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</si>
  <si>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</si>
  <si>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</si>
  <si>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</si>
  <si>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</si>
  <si>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</si>
  <si>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</si>
  <si>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</si>
  <si>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</si>
  <si>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</si>
  <si>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</si>
  <si>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</si>
  <si>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</si>
  <si>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</si>
  <si>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</si>
  <si>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</si>
  <si>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</si>
  <si>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</si>
  <si>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</si>
  <si>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</si>
  <si>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</si>
  <si>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</si>
  <si>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</si>
  <si>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</si>
  <si>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</si>
  <si>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</si>
  <si>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</si>
  <si>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</si>
  <si>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</si>
  <si>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</si>
  <si>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</si>
  <si>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</si>
  <si>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</si>
  <si>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</si>
  <si>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</si>
  <si>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</si>
  <si>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</si>
  <si>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</si>
  <si>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</si>
  <si>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</si>
  <si>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</si>
  <si>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</si>
  <si>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</si>
  <si>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</si>
  <si>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</si>
  <si>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</si>
  <si>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</si>
  <si>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</si>
  <si>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</si>
  <si>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</si>
  <si>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</si>
  <si>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</si>
  <si>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</si>
  <si>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</si>
  <si>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</si>
  <si>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</si>
  <si>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</si>
  <si>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</si>
  <si>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</si>
  <si>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</si>
  <si>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</si>
  <si>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</si>
  <si>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</si>
  <si>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</si>
  <si>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</si>
  <si>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</si>
  <si>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</si>
  <si>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</si>
  <si>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</si>
  <si>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</si>
  <si>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</si>
  <si>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</si>
  <si>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</si>
  <si>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</si>
  <si>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</si>
  <si>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</si>
  <si>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</si>
  <si>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</si>
  <si>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</si>
  <si>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</si>
  <si>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</si>
  <si>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</si>
  <si>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</si>
  <si>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</si>
  <si>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</si>
  <si>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</si>
  <si>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</si>
  <si>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</si>
  <si>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</si>
  <si>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</si>
  <si>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</si>
  <si>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</si>
  <si>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</si>
  <si>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</si>
  <si>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</si>
  <si>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</si>
  <si>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</si>
  <si>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</si>
  <si>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</si>
  <si>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</si>
  <si>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</si>
  <si>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</si>
  <si>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</si>
  <si>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</si>
  <si>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</si>
  <si>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</si>
  <si>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</si>
  <si>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</si>
  <si>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</si>
  <si>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</si>
  <si>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</si>
  <si>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</si>
  <si>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</si>
  <si>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</si>
  <si>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</si>
  <si>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</si>
  <si>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</si>
  <si>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</si>
  <si>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</si>
  <si>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</si>
  <si>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</si>
  <si>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</si>
  <si>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</si>
  <si>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</si>
  <si>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</si>
  <si>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</si>
  <si>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</si>
  <si>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</si>
  <si>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</si>
  <si>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</si>
  <si>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</si>
  <si>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</si>
  <si>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</si>
  <si>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</si>
  <si>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</si>
  <si>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</si>
  <si>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</si>
  <si>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</si>
  <si>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</si>
  <si>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</si>
  <si>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</si>
  <si>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</si>
  <si>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</si>
  <si>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</si>
  <si>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</si>
  <si>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</si>
  <si>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</si>
  <si>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</si>
  <si>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</si>
  <si>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</si>
  <si>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</si>
  <si>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</si>
  <si>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</si>
  <si>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</si>
  <si>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</si>
  <si>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</si>
  <si>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</si>
  <si>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</si>
  <si>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</si>
  <si>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</si>
  <si>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</si>
  <si>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</si>
  <si>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</si>
  <si>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</si>
  <si>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</si>
  <si>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</si>
  <si>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</si>
  <si>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</si>
  <si>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</si>
  <si>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</si>
  <si>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</si>
  <si>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</si>
  <si>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</si>
  <si>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</si>
  <si>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</si>
  <si>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</si>
  <si>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</si>
  <si>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</si>
  <si>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</si>
  <si>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</si>
  <si>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</si>
  <si>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</si>
  <si>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</si>
  <si>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</si>
  <si>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</si>
  <si>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</si>
  <si>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</si>
  <si>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</si>
  <si>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</si>
  <si>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</si>
  <si>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</si>
  <si>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</si>
  <si>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</si>
  <si>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</si>
  <si>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</si>
  <si>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</si>
  <si>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</si>
  <si>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</si>
  <si>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</si>
  <si>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</si>
  <si>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</si>
  <si>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</si>
  <si>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</si>
  <si>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</si>
  <si>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</si>
  <si>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Clothing</t>
  </si>
  <si>
    <t>Home &amp; Kitchen</t>
  </si>
  <si>
    <t>Books</t>
  </si>
  <si>
    <t>Electronics</t>
  </si>
  <si>
    <t>Beauty</t>
  </si>
  <si>
    <t>West</t>
  </si>
  <si>
    <t>East</t>
  </si>
  <si>
    <t>North</t>
  </si>
  <si>
    <t>South</t>
  </si>
  <si>
    <t>Consumer</t>
  </si>
  <si>
    <t>Corporate</t>
  </si>
  <si>
    <t>Small Business</t>
  </si>
  <si>
    <t>Profit Margin</t>
  </si>
  <si>
    <t>Grand Total</t>
  </si>
  <si>
    <t>Sum of Sales</t>
  </si>
  <si>
    <t>Average of Profit Margin</t>
  </si>
  <si>
    <t>Total Sales</t>
  </si>
  <si>
    <t>Categories</t>
  </si>
  <si>
    <t>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</si>
</sst>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 #,##0"/>
    <numFmt numFmtId="170" formatCode="_ &quot;₹&quot;\ * #,##0_ ;_ &quot;₹&quot;\ * \-#,##0_ ;_ &quot;₹&quot;\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168" fontId="0" fillId="0" borderId="0" xfId="0" applyNumberFormat="1"/>
    <xf numFmtId="0" fontId="1" fillId="0" borderId="2" xfId="0" applyFont="1" applyFill="1" applyBorder="1" applyAlignment="1">
      <alignment horizontal="center" vertical="top"/>
    </xf>
    <xf numFmtId="9" fontId="0" fillId="0" borderId="0" xfId="1" applyFont="1"/>
    <xf numFmtId="14" fontId="0" fillId="0" borderId="0" xfId="0" applyNumberFormat="1"/>
    <xf numFmtId="0" fontId="0" fillId="0" borderId="0" xfId="0" pivotButton="1"/>
    <xf numFmtId="0" fontId="0" fillId="0" borderId="0" xfId="0" applyAlignment="1">
      <alignment horizontal="left"/>
    </xf>
    <xf numFmtId="170" fontId="0" fillId="0" borderId="0" xfId="0" applyNumberFormat="1"/>
    <xf numFmtId="9" fontId="0" fillId="0" borderId="0" xfId="0" applyNumberFormat="1"/>
  </cellXfs>
  <cellStyles count="2">
    <cellStyle name="Normal" xfId="0" builtinId="0"/>
    <cellStyle name="Percent" xfId="1" builtinId="5"/>
  </cellStyles>
  <dxfs count="15">
    <dxf>
      <numFmt numFmtId="170" formatCode="_ &quot;₹&quot;\ * #,##0_ ;_ &quot;₹&quot;\ * \-#,##0_ ;_ &quot;₹&quot;\ * &quot;-&quot;??_ ;_ @_ "/>
    </dxf>
    <dxf>
      <numFmt numFmtId="170" formatCode="_ &quot;₹&quot;\ * #,##0_ ;_ &quot;₹&quot;\ * \-#,##0_ ;_ &quot;₹&quot;\ * &quot;-&quot;??_ ;_ @_ "/>
    </dxf>
    <dxf>
      <numFmt numFmtId="13" formatCode="0%"/>
    </dxf>
    <dxf>
      <numFmt numFmtId="170" formatCode="_ &quot;₹&quot;\ * #,##0_ ;_ &quot;₹&quot;\ * \-#,##0_ ;_ &quot;₹&quot;\ * &quot;-&quot;??_ ;_ @_ "/>
    </dxf>
    <dxf>
      <numFmt numFmtId="13" formatCode="0%"/>
    </dxf>
    <dxf>
      <numFmt numFmtId="170" formatCode="_ &quot;₹&quot;\ * #,##0_ ;_ &quot;₹&quot;\ * \-#,##0_ ;_ &quot;₹&quot;\ * &quot;-&quot;??_ ;_ @_ "/>
    </dxf>
    <dxf>
      <numFmt numFmtId="170" formatCode="_ &quot;₹&quot;\ * #,##0_ ;_ &quot;₹&quot;\ * \-#,##0_ ;_ &quot;₹&quot;\ * &quot;-&quot;??_ ;_ @_ "/>
    </dxf>
    <dxf>
      <numFmt numFmtId="170" formatCode="_ &quot;₹&quot;\ * #,##0_ ;_ &quot;₹&quot;\ * \-#,##0_ ;_ &quot;₹&quot;\ * &quot;-&quot;??_ ;_ @_ "/>
    </dxf>
    <dxf>
      <numFmt numFmtId="170" formatCode="_ &quot;₹&quot;\ * #,##0_ ;_ &quot;₹&quot;\ * \-#,##0_ ;_ &quot;₹&quot;\ * &quot;-&quot;??_ ;_ @_ "/>
    </dxf>
    <dxf>
      <numFmt numFmtId="170" formatCode="_ &quot;₹&quot;\ * #,##0_ ;_ &quot;₹&quot;\ * \-#,##0_ ;_ &quot;₹&quot;\ * &quot;-&quot;??_ ;_ @_ "/>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dxf>
    <dxf>
      <numFmt numFmtId="168" formatCode="&quot;₹&quot;\ #,##0"/>
    </dxf>
    <dxf>
      <numFmt numFmtId="168" formatCode="&quot;₹&quot;\ #,##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Pivot_Table!$A$4:$A$9</c:f>
              <c:strCache>
                <c:ptCount val="5"/>
                <c:pt idx="0">
                  <c:v>Books</c:v>
                </c:pt>
                <c:pt idx="1">
                  <c:v>Clothing</c:v>
                </c:pt>
                <c:pt idx="2">
                  <c:v>Electronics</c:v>
                </c:pt>
                <c:pt idx="3">
                  <c:v>Beauty</c:v>
                </c:pt>
                <c:pt idx="4">
                  <c:v>Home &amp; Kitchen</c:v>
                </c:pt>
              </c:strCache>
            </c:strRef>
          </c:cat>
          <c:val>
            <c:numRef>
              <c:f>Pivot_Table!$B$4:$B$9</c:f>
              <c:numCache>
                <c:formatCode>_ "₹"\ * #,##0_ ;_ "₹"\ * \-#,##0_ ;_ "₹"\ * "-"??_ ;_ @_ </c:formatCode>
                <c:ptCount val="5"/>
                <c:pt idx="0">
                  <c:v>1256377.9600000002</c:v>
                </c:pt>
                <c:pt idx="1">
                  <c:v>1081444.51</c:v>
                </c:pt>
                <c:pt idx="2">
                  <c:v>983712.67000000027</c:v>
                </c:pt>
                <c:pt idx="3">
                  <c:v>921652.28000000038</c:v>
                </c:pt>
                <c:pt idx="4">
                  <c:v>898551.41</c:v>
                </c:pt>
              </c:numCache>
            </c:numRef>
          </c:val>
          <c:extLst>
            <c:ext xmlns:c16="http://schemas.microsoft.com/office/drawing/2014/chart" uri="{C3380CC4-5D6E-409C-BE32-E72D297353CC}">
              <c16:uniqueId val="{00000000-A7CF-495A-8F4C-8823E3A1F4C1}"/>
            </c:ext>
          </c:extLst>
        </c:ser>
        <c:dLbls>
          <c:dLblPos val="outEnd"/>
          <c:showLegendKey val="0"/>
          <c:showVal val="1"/>
          <c:showCatName val="0"/>
          <c:showSerName val="0"/>
          <c:showPercent val="0"/>
          <c:showBubbleSize val="0"/>
        </c:dLbls>
        <c:gapWidth val="219"/>
        <c:overlap val="-27"/>
        <c:axId val="1750042752"/>
        <c:axId val="1750056192"/>
      </c:barChart>
      <c:catAx>
        <c:axId val="175004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56192"/>
        <c:crosses val="autoZero"/>
        <c:auto val="1"/>
        <c:lblAlgn val="ctr"/>
        <c:lblOffset val="100"/>
        <c:noMultiLvlLbl val="0"/>
      </c:catAx>
      <c:valAx>
        <c:axId val="1750056192"/>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4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60960</xdr:colOff>
      <xdr:row>26</xdr:row>
      <xdr:rowOff>102870</xdr:rowOff>
    </xdr:from>
    <xdr:to>
      <xdr:col>5</xdr:col>
      <xdr:colOff>701040</xdr:colOff>
      <xdr:row>42</xdr:row>
      <xdr:rowOff>22860</xdr:rowOff>
    </xdr:to>
    <xdr:graphicFrame macro="">
      <xdr:nvGraphicFramePr>
        <xdr:cNvPr id="2" name="Chart 1">
          <a:extLst>
            <a:ext uri="{FF2B5EF4-FFF2-40B4-BE49-F238E27FC236}">
              <a16:creationId xmlns:a16="http://schemas.microsoft.com/office/drawing/2014/main" id="{D3879F47-A615-32F7-44B0-0F29484C7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472440</xdr:colOff>
      <xdr:row>42</xdr:row>
      <xdr:rowOff>114301</xdr:rowOff>
    </xdr:from>
    <xdr:to>
      <xdr:col>3</xdr:col>
      <xdr:colOff>731520</xdr:colOff>
      <xdr:row>52</xdr:row>
      <xdr:rowOff>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345906CC-75B8-3092-534F-68A2478ECA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81200" y="779526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784860</xdr:colOff>
      <xdr:row>42</xdr:row>
      <xdr:rowOff>114301</xdr:rowOff>
    </xdr:from>
    <xdr:to>
      <xdr:col>5</xdr:col>
      <xdr:colOff>701040</xdr:colOff>
      <xdr:row>50</xdr:row>
      <xdr:rowOff>160021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0941FAE2-A1A1-7FDE-BDC6-692096A7E0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63340" y="7795261"/>
              <a:ext cx="160782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42</xdr:row>
      <xdr:rowOff>114301</xdr:rowOff>
    </xdr:from>
    <xdr:to>
      <xdr:col>1</xdr:col>
      <xdr:colOff>403860</xdr:colOff>
      <xdr:row>49</xdr:row>
      <xdr:rowOff>38101</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1648886A-8DF2-E1CA-D4BF-4F5FA387D78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3820" y="779526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ini Sunil Rane" refreshedDate="46038.649376273148" createdVersion="8" refreshedVersion="8" minRefreshableVersion="3" recordCount="500" xr:uid="{27FC614D-4F51-4417-8E7B-C47777A2D14F}">
  <cacheSource type="worksheet">
    <worksheetSource name="Table1"/>
  </cacheSource>
  <cacheFields count="9">
    <cacheField name="Order ID" numFmtId="0">
      <sharedItems/>
    </cacheField>
    <cacheField name="Order Date" numFmtId="14">
      <sharedItems containsSemiMixedTypes="0" containsNonDate="0" containsDate="1" containsString="0" minDate="2024-01-01T00:00:00" maxDate="2024-12-29T00:00:00"/>
    </cacheField>
    <cacheField name="Category" numFmtId="0">
      <sharedItems count="5">
        <s v="Clothing"/>
        <s v="Home &amp; Kitchen"/>
        <s v="Books"/>
        <s v="Electronics"/>
        <s v="Beauty"/>
      </sharedItems>
    </cacheField>
    <cacheField name="Region" numFmtId="0">
      <sharedItems count="4">
        <s v="West"/>
        <s v="East"/>
        <s v="North"/>
        <s v="South"/>
      </sharedItems>
    </cacheField>
    <cacheField name="Segment" numFmtId="0">
      <sharedItems count="3">
        <s v="Consumer"/>
        <s v="Corporate"/>
        <s v="Small Business"/>
      </sharedItems>
    </cacheField>
    <cacheField name="Quantity" numFmtId="0">
      <sharedItems containsSemiMixedTypes="0" containsString="0" containsNumber="1" containsInteger="1" minValue="1" maxValue="10"/>
    </cacheField>
    <cacheField name="Sales" numFmtId="168">
      <sharedItems containsSemiMixedTypes="0" containsString="0" containsNumber="1" minValue="517.87" maxValue="19981.650000000001"/>
    </cacheField>
    <cacheField name="Profit" numFmtId="168">
      <sharedItems containsSemiMixedTypes="0" containsString="0" containsNumber="1" minValue="30.17" maxValue="4890.17"/>
    </cacheField>
    <cacheField name="Profit Margin" numFmtId="9">
      <sharedItems containsSemiMixedTypes="0" containsString="0" containsNumber="1" minValue="5.0004083227206217E-2" maxValue="0.2496673637690881"/>
    </cacheField>
  </cacheFields>
  <extLst>
    <ext xmlns:x14="http://schemas.microsoft.com/office/spreadsheetml/2009/9/main" uri="{725AE2AE-9491-48be-B2B4-4EB974FC3084}">
      <x14:pivotCacheDefinition pivotCacheId="749158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d v="2024-12-24T00:00:00"/>
    <x v="0"/>
    <x v="0"/>
    <x v="0"/>
    <n v="5"/>
    <n v="15342.42"/>
    <n v="3566.5"/>
    <n v="0.23246006822913204"/>
  </r>
  <r>
    <s v="ORD-1002"/>
    <d v="2024-11-14T00:00:00"/>
    <x v="1"/>
    <x v="0"/>
    <x v="1"/>
    <n v="9"/>
    <n v="1159.47"/>
    <n v="238.52"/>
    <n v="0.20571467998309573"/>
  </r>
  <r>
    <s v="ORD-1003"/>
    <d v="2024-04-26T00:00:00"/>
    <x v="0"/>
    <x v="1"/>
    <x v="2"/>
    <n v="9"/>
    <n v="14783.96"/>
    <n v="899.5"/>
    <n v="6.0842967648721998E-2"/>
  </r>
  <r>
    <s v="ORD-1004"/>
    <d v="2024-04-08T00:00:00"/>
    <x v="2"/>
    <x v="0"/>
    <x v="0"/>
    <n v="2"/>
    <n v="11223.15"/>
    <n v="598.64"/>
    <n v="5.3339748644542752E-2"/>
  </r>
  <r>
    <s v="ORD-1005"/>
    <d v="2024-04-27T00:00:00"/>
    <x v="1"/>
    <x v="2"/>
    <x v="0"/>
    <n v="9"/>
    <n v="12002.87"/>
    <n v="2076.91"/>
    <n v="0.17303444926088507"/>
  </r>
  <r>
    <s v="ORD-1006"/>
    <d v="2024-11-13T00:00:00"/>
    <x v="0"/>
    <x v="3"/>
    <x v="2"/>
    <n v="1"/>
    <n v="4178.0600000000004"/>
    <n v="228.2"/>
    <n v="5.4618650761358134E-2"/>
  </r>
  <r>
    <s v="ORD-1007"/>
    <d v="2024-12-16T00:00:00"/>
    <x v="2"/>
    <x v="1"/>
    <x v="2"/>
    <n v="9"/>
    <n v="13781.72"/>
    <n v="990.17"/>
    <n v="7.1846620015498797E-2"/>
  </r>
  <r>
    <s v="ORD-1008"/>
    <d v="2024-10-11T00:00:00"/>
    <x v="3"/>
    <x v="2"/>
    <x v="1"/>
    <n v="9"/>
    <n v="9650.33"/>
    <n v="596.78"/>
    <n v="6.1840372298149385E-2"/>
  </r>
  <r>
    <s v="ORD-1009"/>
    <d v="2024-05-03T00:00:00"/>
    <x v="0"/>
    <x v="2"/>
    <x v="0"/>
    <n v="2"/>
    <n v="10581.36"/>
    <n v="1679.67"/>
    <n v="0.15873857424754473"/>
  </r>
  <r>
    <s v="ORD-1010"/>
    <d v="2024-11-21T00:00:00"/>
    <x v="1"/>
    <x v="0"/>
    <x v="0"/>
    <n v="4"/>
    <n v="12728.58"/>
    <n v="742.08"/>
    <n v="5.8300297440877148E-2"/>
  </r>
  <r>
    <s v="ORD-1011"/>
    <d v="2024-09-07T00:00:00"/>
    <x v="2"/>
    <x v="0"/>
    <x v="1"/>
    <n v="4"/>
    <n v="5956.87"/>
    <n v="507.89"/>
    <n v="8.5261219398778218E-2"/>
  </r>
  <r>
    <s v="ORD-1012"/>
    <d v="2024-06-10T00:00:00"/>
    <x v="0"/>
    <x v="2"/>
    <x v="1"/>
    <n v="5"/>
    <n v="1874.89"/>
    <n v="231.08"/>
    <n v="0.12324989732730987"/>
  </r>
  <r>
    <s v="ORD-1013"/>
    <d v="2024-08-14T00:00:00"/>
    <x v="4"/>
    <x v="1"/>
    <x v="0"/>
    <n v="4"/>
    <n v="2062.86"/>
    <n v="258.13"/>
    <n v="0.12513209815498869"/>
  </r>
  <r>
    <s v="ORD-1014"/>
    <d v="2024-01-08T00:00:00"/>
    <x v="3"/>
    <x v="0"/>
    <x v="0"/>
    <n v="4"/>
    <n v="7092.79"/>
    <n v="1452.5"/>
    <n v="0.20478542294358074"/>
  </r>
  <r>
    <s v="ORD-1015"/>
    <d v="2024-05-13T00:00:00"/>
    <x v="2"/>
    <x v="1"/>
    <x v="0"/>
    <n v="5"/>
    <n v="9280.98"/>
    <n v="1839.74"/>
    <n v="0.19822691138220319"/>
  </r>
  <r>
    <s v="ORD-1016"/>
    <d v="2024-02-10T00:00:00"/>
    <x v="2"/>
    <x v="2"/>
    <x v="2"/>
    <n v="5"/>
    <n v="5311.21"/>
    <n v="1131"/>
    <n v="0.21294582590407835"/>
  </r>
  <r>
    <s v="ORD-1017"/>
    <d v="2024-09-27T00:00:00"/>
    <x v="1"/>
    <x v="0"/>
    <x v="1"/>
    <n v="5"/>
    <n v="14021.58"/>
    <n v="2336.8000000000002"/>
    <n v="0.16665739524361736"/>
  </r>
  <r>
    <s v="ORD-1018"/>
    <d v="2024-05-06T00:00:00"/>
    <x v="3"/>
    <x v="0"/>
    <x v="1"/>
    <n v="6"/>
    <n v="8256.1"/>
    <n v="959.72"/>
    <n v="0.1162437470476375"/>
  </r>
  <r>
    <s v="ORD-1019"/>
    <d v="2024-03-24T00:00:00"/>
    <x v="4"/>
    <x v="2"/>
    <x v="0"/>
    <n v="3"/>
    <n v="8276.42"/>
    <n v="463.78"/>
    <n v="5.6036305552400668E-2"/>
  </r>
  <r>
    <s v="ORD-1020"/>
    <d v="2024-10-18T00:00:00"/>
    <x v="3"/>
    <x v="3"/>
    <x v="1"/>
    <n v="4"/>
    <n v="18082.61"/>
    <n v="2132.52"/>
    <n v="0.11793209055551161"/>
  </r>
  <r>
    <s v="ORD-1021"/>
    <d v="2024-04-28T00:00:00"/>
    <x v="0"/>
    <x v="1"/>
    <x v="0"/>
    <n v="10"/>
    <n v="9878.32"/>
    <n v="2161.92"/>
    <n v="0.21885502798046633"/>
  </r>
  <r>
    <s v="ORD-1022"/>
    <d v="2024-02-01T00:00:00"/>
    <x v="1"/>
    <x v="1"/>
    <x v="0"/>
    <n v="7"/>
    <n v="10145.64"/>
    <n v="1486.13"/>
    <n v="0.14647967008488377"/>
  </r>
  <r>
    <s v="ORD-1023"/>
    <d v="2024-07-25T00:00:00"/>
    <x v="2"/>
    <x v="0"/>
    <x v="2"/>
    <n v="5"/>
    <n v="13265.16"/>
    <n v="967.16"/>
    <n v="7.2909787744738844E-2"/>
  </r>
  <r>
    <s v="ORD-1024"/>
    <d v="2024-01-27T00:00:00"/>
    <x v="0"/>
    <x v="1"/>
    <x v="0"/>
    <n v="9"/>
    <n v="7136.94"/>
    <n v="487.42"/>
    <n v="6.8295375889386778E-2"/>
  </r>
  <r>
    <s v="ORD-1025"/>
    <d v="2024-09-27T00:00:00"/>
    <x v="0"/>
    <x v="0"/>
    <x v="0"/>
    <n v="6"/>
    <n v="2649.96"/>
    <n v="565.41999999999996"/>
    <n v="0.21336925840390042"/>
  </r>
  <r>
    <s v="ORD-1026"/>
    <d v="2024-02-26T00:00:00"/>
    <x v="0"/>
    <x v="0"/>
    <x v="0"/>
    <n v="1"/>
    <n v="19447.259999999998"/>
    <n v="1299.08"/>
    <n v="6.6800155908852965E-2"/>
  </r>
  <r>
    <s v="ORD-1027"/>
    <d v="2024-03-15T00:00:00"/>
    <x v="4"/>
    <x v="0"/>
    <x v="1"/>
    <n v="9"/>
    <n v="4532.28"/>
    <n v="757.55"/>
    <n v="0.16714545438498946"/>
  </r>
  <r>
    <s v="ORD-1028"/>
    <d v="2024-10-15T00:00:00"/>
    <x v="3"/>
    <x v="0"/>
    <x v="2"/>
    <n v="4"/>
    <n v="12607.28"/>
    <n v="3095.22"/>
    <n v="0.24551053042369167"/>
  </r>
  <r>
    <s v="ORD-1029"/>
    <d v="2024-12-21T00:00:00"/>
    <x v="0"/>
    <x v="0"/>
    <x v="2"/>
    <n v="8"/>
    <n v="3227.87"/>
    <n v="487.63"/>
    <n v="0.15106866137731692"/>
  </r>
  <r>
    <s v="ORD-1030"/>
    <d v="2024-12-14T00:00:00"/>
    <x v="4"/>
    <x v="1"/>
    <x v="2"/>
    <n v="6"/>
    <n v="2189.9"/>
    <n v="304.07"/>
    <n v="0.13885108909082605"/>
  </r>
  <r>
    <s v="ORD-1031"/>
    <d v="2024-07-14T00:00:00"/>
    <x v="3"/>
    <x v="0"/>
    <x v="2"/>
    <n v="5"/>
    <n v="1325.13"/>
    <n v="227.02"/>
    <n v="0.1713190403960366"/>
  </r>
  <r>
    <s v="ORD-1032"/>
    <d v="2024-04-17T00:00:00"/>
    <x v="4"/>
    <x v="1"/>
    <x v="0"/>
    <n v="7"/>
    <n v="11178.13"/>
    <n v="1723.77"/>
    <n v="0.1542091566299551"/>
  </r>
  <r>
    <s v="ORD-1033"/>
    <d v="2024-01-03T00:00:00"/>
    <x v="2"/>
    <x v="1"/>
    <x v="2"/>
    <n v="4"/>
    <n v="10181.290000000001"/>
    <n v="1003.32"/>
    <n v="9.8545469189071325E-2"/>
  </r>
  <r>
    <s v="ORD-1034"/>
    <d v="2024-10-16T00:00:00"/>
    <x v="4"/>
    <x v="1"/>
    <x v="1"/>
    <n v="8"/>
    <n v="8960.33"/>
    <n v="1185.79"/>
    <n v="0.13233775988161151"/>
  </r>
  <r>
    <s v="ORD-1035"/>
    <d v="2024-01-04T00:00:00"/>
    <x v="0"/>
    <x v="2"/>
    <x v="0"/>
    <n v="3"/>
    <n v="9757.7000000000007"/>
    <n v="1630.28"/>
    <n v="0.16707625772466872"/>
  </r>
  <r>
    <s v="ORD-1036"/>
    <d v="2024-11-12T00:00:00"/>
    <x v="4"/>
    <x v="3"/>
    <x v="2"/>
    <n v="8"/>
    <n v="13776.9"/>
    <n v="1514.85"/>
    <n v="0.10995579557084685"/>
  </r>
  <r>
    <s v="ORD-1037"/>
    <d v="2024-07-05T00:00:00"/>
    <x v="0"/>
    <x v="0"/>
    <x v="1"/>
    <n v="4"/>
    <n v="17774.97"/>
    <n v="2081.98"/>
    <n v="0.11712987419950638"/>
  </r>
  <r>
    <s v="ORD-1038"/>
    <d v="2024-10-28T00:00:00"/>
    <x v="3"/>
    <x v="3"/>
    <x v="1"/>
    <n v="7"/>
    <n v="12045.77"/>
    <n v="1587.44"/>
    <n v="0.13178402044867202"/>
  </r>
  <r>
    <s v="ORD-1039"/>
    <d v="2024-04-20T00:00:00"/>
    <x v="0"/>
    <x v="1"/>
    <x v="2"/>
    <n v="8"/>
    <n v="4153.1000000000004"/>
    <n v="999.83"/>
    <n v="0.24074305940141097"/>
  </r>
  <r>
    <s v="ORD-1040"/>
    <d v="2024-05-23T00:00:00"/>
    <x v="0"/>
    <x v="0"/>
    <x v="1"/>
    <n v="3"/>
    <n v="19980.27"/>
    <n v="3577.91"/>
    <n v="0.1790721546805924"/>
  </r>
  <r>
    <s v="ORD-1041"/>
    <d v="2024-09-08T00:00:00"/>
    <x v="1"/>
    <x v="1"/>
    <x v="1"/>
    <n v="6"/>
    <n v="3578.11"/>
    <n v="455.56"/>
    <n v="0.12731861234003425"/>
  </r>
  <r>
    <s v="ORD-1042"/>
    <d v="2024-04-13T00:00:00"/>
    <x v="2"/>
    <x v="1"/>
    <x v="1"/>
    <n v="7"/>
    <n v="1823.75"/>
    <n v="368.88"/>
    <n v="0.20226456477039068"/>
  </r>
  <r>
    <s v="ORD-1043"/>
    <d v="2024-06-13T00:00:00"/>
    <x v="1"/>
    <x v="3"/>
    <x v="2"/>
    <n v="7"/>
    <n v="4847.92"/>
    <n v="410.82"/>
    <n v="8.474149738444528E-2"/>
  </r>
  <r>
    <s v="ORD-1044"/>
    <d v="2024-01-04T00:00:00"/>
    <x v="2"/>
    <x v="3"/>
    <x v="1"/>
    <n v="3"/>
    <n v="15486.62"/>
    <n v="1640.85"/>
    <n v="0.10595275147191574"/>
  </r>
  <r>
    <s v="ORD-1045"/>
    <d v="2024-12-16T00:00:00"/>
    <x v="1"/>
    <x v="1"/>
    <x v="1"/>
    <n v="2"/>
    <n v="8600.86"/>
    <n v="949.77"/>
    <n v="0.11042732936008724"/>
  </r>
  <r>
    <s v="ORD-1046"/>
    <d v="2024-04-15T00:00:00"/>
    <x v="4"/>
    <x v="3"/>
    <x v="2"/>
    <n v="7"/>
    <n v="5109.1099999999997"/>
    <n v="763.25"/>
    <n v="0.14939001117611483"/>
  </r>
  <r>
    <s v="ORD-1047"/>
    <d v="2024-08-06T00:00:00"/>
    <x v="2"/>
    <x v="1"/>
    <x v="2"/>
    <n v="3"/>
    <n v="2023.71"/>
    <n v="456.67"/>
    <n v="0.22565980303501984"/>
  </r>
  <r>
    <s v="ORD-1048"/>
    <d v="2024-05-21T00:00:00"/>
    <x v="4"/>
    <x v="0"/>
    <x v="0"/>
    <n v="6"/>
    <n v="12968.93"/>
    <n v="973.68"/>
    <n v="7.507789771399799E-2"/>
  </r>
  <r>
    <s v="ORD-1049"/>
    <d v="2024-08-08T00:00:00"/>
    <x v="4"/>
    <x v="1"/>
    <x v="1"/>
    <n v="3"/>
    <n v="15549.59"/>
    <n v="1584.1"/>
    <n v="0.1018740687053485"/>
  </r>
  <r>
    <s v="ORD-1050"/>
    <d v="2024-01-03T00:00:00"/>
    <x v="3"/>
    <x v="1"/>
    <x v="1"/>
    <n v="2"/>
    <n v="11498.72"/>
    <n v="1207.69"/>
    <n v="0.10502821183575216"/>
  </r>
  <r>
    <s v="ORD-1051"/>
    <d v="2024-05-13T00:00:00"/>
    <x v="4"/>
    <x v="3"/>
    <x v="2"/>
    <n v="7"/>
    <n v="8789.49"/>
    <n v="1367.49"/>
    <n v="0.15558240580511498"/>
  </r>
  <r>
    <s v="ORD-1052"/>
    <d v="2024-03-05T00:00:00"/>
    <x v="2"/>
    <x v="0"/>
    <x v="2"/>
    <n v="2"/>
    <n v="11153.75"/>
    <n v="2686.62"/>
    <n v="0.24087145578841196"/>
  </r>
  <r>
    <s v="ORD-1053"/>
    <d v="2024-02-09T00:00:00"/>
    <x v="4"/>
    <x v="2"/>
    <x v="1"/>
    <n v="2"/>
    <n v="5926.39"/>
    <n v="483.99"/>
    <n v="8.16669169595656E-2"/>
  </r>
  <r>
    <s v="ORD-1054"/>
    <d v="2024-09-09T00:00:00"/>
    <x v="1"/>
    <x v="0"/>
    <x v="0"/>
    <n v="2"/>
    <n v="13236.56"/>
    <n v="967.19"/>
    <n v="7.3069589077524685E-2"/>
  </r>
  <r>
    <s v="ORD-1055"/>
    <d v="2024-04-20T00:00:00"/>
    <x v="4"/>
    <x v="2"/>
    <x v="1"/>
    <n v="7"/>
    <n v="13693.18"/>
    <n v="2436.15"/>
    <n v="0.1779097331664376"/>
  </r>
  <r>
    <s v="ORD-1056"/>
    <d v="2024-09-16T00:00:00"/>
    <x v="4"/>
    <x v="1"/>
    <x v="2"/>
    <n v="3"/>
    <n v="1059.32"/>
    <n v="104.77"/>
    <n v="9.8903069893894205E-2"/>
  </r>
  <r>
    <s v="ORD-1057"/>
    <d v="2024-07-23T00:00:00"/>
    <x v="4"/>
    <x v="2"/>
    <x v="1"/>
    <n v="6"/>
    <n v="19526.599999999999"/>
    <n v="1156.5899999999999"/>
    <n v="5.9231509837862198E-2"/>
  </r>
  <r>
    <s v="ORD-1058"/>
    <d v="2024-02-06T00:00:00"/>
    <x v="3"/>
    <x v="1"/>
    <x v="0"/>
    <n v="6"/>
    <n v="17685.71"/>
    <n v="3538.29"/>
    <n v="0.200064911162741"/>
  </r>
  <r>
    <s v="ORD-1059"/>
    <d v="2024-09-17T00:00:00"/>
    <x v="3"/>
    <x v="3"/>
    <x v="2"/>
    <n v="6"/>
    <n v="6692.63"/>
    <n v="1053.3499999999999"/>
    <n v="0.15738954641150041"/>
  </r>
  <r>
    <s v="ORD-1060"/>
    <d v="2024-01-18T00:00:00"/>
    <x v="4"/>
    <x v="1"/>
    <x v="0"/>
    <n v="10"/>
    <n v="2360.38"/>
    <n v="202.62"/>
    <n v="8.5842110168701649E-2"/>
  </r>
  <r>
    <s v="ORD-1061"/>
    <d v="2024-08-23T00:00:00"/>
    <x v="0"/>
    <x v="1"/>
    <x v="1"/>
    <n v="4"/>
    <n v="4707.8999999999996"/>
    <n v="847.44"/>
    <n v="0.18000382336073412"/>
  </r>
  <r>
    <s v="ORD-1062"/>
    <d v="2024-08-01T00:00:00"/>
    <x v="3"/>
    <x v="0"/>
    <x v="2"/>
    <n v="6"/>
    <n v="18914.91"/>
    <n v="3635.67"/>
    <n v="0.19221185826419476"/>
  </r>
  <r>
    <s v="ORD-1063"/>
    <d v="2024-07-19T00:00:00"/>
    <x v="4"/>
    <x v="2"/>
    <x v="2"/>
    <n v="7"/>
    <n v="19837.39"/>
    <n v="4687.04"/>
    <n v="0.23627301777098703"/>
  </r>
  <r>
    <s v="ORD-1064"/>
    <d v="2024-08-16T00:00:00"/>
    <x v="3"/>
    <x v="1"/>
    <x v="2"/>
    <n v="1"/>
    <n v="5912.09"/>
    <n v="1029.8900000000001"/>
    <n v="0.17420066338638282"/>
  </r>
  <r>
    <s v="ORD-1065"/>
    <d v="2024-07-27T00:00:00"/>
    <x v="3"/>
    <x v="0"/>
    <x v="2"/>
    <n v="1"/>
    <n v="4545.4399999999996"/>
    <n v="717.73"/>
    <n v="0.15790110528353693"/>
  </r>
  <r>
    <s v="ORD-1066"/>
    <d v="2024-03-17T00:00:00"/>
    <x v="2"/>
    <x v="0"/>
    <x v="1"/>
    <n v="2"/>
    <n v="3334.91"/>
    <n v="676.08"/>
    <n v="0.20272810960415724"/>
  </r>
  <r>
    <s v="ORD-1067"/>
    <d v="2024-02-21T00:00:00"/>
    <x v="4"/>
    <x v="0"/>
    <x v="2"/>
    <n v="7"/>
    <n v="718.24"/>
    <n v="64.48"/>
    <n v="8.9775005569169078E-2"/>
  </r>
  <r>
    <s v="ORD-1068"/>
    <d v="2024-09-26T00:00:00"/>
    <x v="4"/>
    <x v="3"/>
    <x v="2"/>
    <n v="9"/>
    <n v="14589.25"/>
    <n v="3401.57"/>
    <n v="0.2331559195983344"/>
  </r>
  <r>
    <s v="ORD-1069"/>
    <d v="2024-07-11T00:00:00"/>
    <x v="3"/>
    <x v="1"/>
    <x v="1"/>
    <n v="5"/>
    <n v="14819.5"/>
    <n v="1285.6300000000001"/>
    <n v="8.675258949357266E-2"/>
  </r>
  <r>
    <s v="ORD-1070"/>
    <d v="2024-07-08T00:00:00"/>
    <x v="2"/>
    <x v="1"/>
    <x v="1"/>
    <n v="9"/>
    <n v="13459.88"/>
    <n v="793.01"/>
    <n v="5.891657280748417E-2"/>
  </r>
  <r>
    <s v="ORD-1071"/>
    <d v="2024-12-04T00:00:00"/>
    <x v="4"/>
    <x v="3"/>
    <x v="0"/>
    <n v="4"/>
    <n v="14301.01"/>
    <n v="2767.78"/>
    <n v="0.19353737952773967"/>
  </r>
  <r>
    <s v="ORD-1072"/>
    <d v="2024-11-14T00:00:00"/>
    <x v="1"/>
    <x v="3"/>
    <x v="0"/>
    <n v="10"/>
    <n v="13564.83"/>
    <n v="1452.44"/>
    <n v="0.10707395522096481"/>
  </r>
  <r>
    <s v="ORD-1073"/>
    <d v="2024-09-23T00:00:00"/>
    <x v="4"/>
    <x v="3"/>
    <x v="0"/>
    <n v="8"/>
    <n v="4522.63"/>
    <n v="313.33999999999997"/>
    <n v="6.9282696130348931E-2"/>
  </r>
  <r>
    <s v="ORD-1074"/>
    <d v="2024-04-06T00:00:00"/>
    <x v="1"/>
    <x v="2"/>
    <x v="1"/>
    <n v="7"/>
    <n v="9536.4699999999993"/>
    <n v="1867.29"/>
    <n v="0.19580515641531931"/>
  </r>
  <r>
    <s v="ORD-1075"/>
    <d v="2024-12-13T00:00:00"/>
    <x v="4"/>
    <x v="0"/>
    <x v="2"/>
    <n v="9"/>
    <n v="1027.1300000000001"/>
    <n v="95.34"/>
    <n v="9.2821746030200644E-2"/>
  </r>
  <r>
    <s v="ORD-1076"/>
    <d v="2024-08-06T00:00:00"/>
    <x v="3"/>
    <x v="3"/>
    <x v="0"/>
    <n v="9"/>
    <n v="3912.03"/>
    <n v="937.77"/>
    <n v="0.23971441936794963"/>
  </r>
  <r>
    <s v="ORD-1077"/>
    <d v="2024-08-19T00:00:00"/>
    <x v="0"/>
    <x v="2"/>
    <x v="0"/>
    <n v="10"/>
    <n v="7485.06"/>
    <n v="1461.1"/>
    <n v="0.1952021760680609"/>
  </r>
  <r>
    <s v="ORD-1078"/>
    <d v="2024-08-06T00:00:00"/>
    <x v="4"/>
    <x v="0"/>
    <x v="1"/>
    <n v="6"/>
    <n v="3500.96"/>
    <n v="682.61"/>
    <n v="0.19497794890544309"/>
  </r>
  <r>
    <s v="ORD-1079"/>
    <d v="2024-05-15T00:00:00"/>
    <x v="4"/>
    <x v="3"/>
    <x v="0"/>
    <n v="8"/>
    <n v="5235.04"/>
    <n v="689.98"/>
    <n v="0.13180033008343775"/>
  </r>
  <r>
    <s v="ORD-1080"/>
    <d v="2024-01-12T00:00:00"/>
    <x v="4"/>
    <x v="1"/>
    <x v="2"/>
    <n v="7"/>
    <n v="15776.21"/>
    <n v="1531.22"/>
    <n v="9.7058799293366416E-2"/>
  </r>
  <r>
    <s v="ORD-1081"/>
    <d v="2024-10-27T00:00:00"/>
    <x v="0"/>
    <x v="3"/>
    <x v="1"/>
    <n v="7"/>
    <n v="13977.67"/>
    <n v="2851.5"/>
    <n v="0.20400395774116858"/>
  </r>
  <r>
    <s v="ORD-1082"/>
    <d v="2024-08-02T00:00:00"/>
    <x v="1"/>
    <x v="0"/>
    <x v="0"/>
    <n v="2"/>
    <n v="11723.33"/>
    <n v="2159.15"/>
    <n v="0.1841754859754012"/>
  </r>
  <r>
    <s v="ORD-1083"/>
    <d v="2024-02-19T00:00:00"/>
    <x v="3"/>
    <x v="3"/>
    <x v="0"/>
    <n v="7"/>
    <n v="3916.57"/>
    <n v="708.38"/>
    <n v="0.18086744268581947"/>
  </r>
  <r>
    <s v="ORD-1084"/>
    <d v="2024-11-10T00:00:00"/>
    <x v="2"/>
    <x v="0"/>
    <x v="1"/>
    <n v="9"/>
    <n v="4815.4399999999996"/>
    <n v="311.63"/>
    <n v="6.4714750884654365E-2"/>
  </r>
  <r>
    <s v="ORD-1085"/>
    <d v="2024-10-27T00:00:00"/>
    <x v="2"/>
    <x v="0"/>
    <x v="2"/>
    <n v="6"/>
    <n v="4210.92"/>
    <n v="526.91999999999996"/>
    <n v="0.12513180017668346"/>
  </r>
  <r>
    <s v="ORD-1086"/>
    <d v="2024-10-27T00:00:00"/>
    <x v="4"/>
    <x v="1"/>
    <x v="0"/>
    <n v="7"/>
    <n v="4597.87"/>
    <n v="276.17"/>
    <n v="6.0064769121354021E-2"/>
  </r>
  <r>
    <s v="ORD-1087"/>
    <d v="2024-05-19T00:00:00"/>
    <x v="2"/>
    <x v="1"/>
    <x v="2"/>
    <n v="2"/>
    <n v="12591.92"/>
    <n v="977.88"/>
    <n v="7.7659324392149884E-2"/>
  </r>
  <r>
    <s v="ORD-1088"/>
    <d v="2024-06-22T00:00:00"/>
    <x v="0"/>
    <x v="3"/>
    <x v="2"/>
    <n v="6"/>
    <n v="5342.38"/>
    <n v="446.31"/>
    <n v="8.3541417869938114E-2"/>
  </r>
  <r>
    <s v="ORD-1089"/>
    <d v="2024-12-13T00:00:00"/>
    <x v="0"/>
    <x v="1"/>
    <x v="1"/>
    <n v="3"/>
    <n v="6431.28"/>
    <n v="1417.94"/>
    <n v="0.22047555074573025"/>
  </r>
  <r>
    <s v="ORD-1090"/>
    <d v="2024-03-13T00:00:00"/>
    <x v="2"/>
    <x v="2"/>
    <x v="2"/>
    <n v="6"/>
    <n v="11140.64"/>
    <n v="2378.38"/>
    <n v="0.21348683738097635"/>
  </r>
  <r>
    <s v="ORD-1091"/>
    <d v="2024-12-24T00:00:00"/>
    <x v="1"/>
    <x v="2"/>
    <x v="0"/>
    <n v="6"/>
    <n v="10348.64"/>
    <n v="2374.65"/>
    <n v="0.22946493452279723"/>
  </r>
  <r>
    <s v="ORD-1092"/>
    <d v="2024-01-24T00:00:00"/>
    <x v="2"/>
    <x v="1"/>
    <x v="1"/>
    <n v="9"/>
    <n v="11052.22"/>
    <n v="2350.62"/>
    <n v="0.2126830627692898"/>
  </r>
  <r>
    <s v="ORD-1093"/>
    <d v="2024-11-26T00:00:00"/>
    <x v="2"/>
    <x v="0"/>
    <x v="1"/>
    <n v="9"/>
    <n v="16508.37"/>
    <n v="1655.16"/>
    <n v="0.1002618671619306"/>
  </r>
  <r>
    <s v="ORD-1094"/>
    <d v="2024-06-21T00:00:00"/>
    <x v="1"/>
    <x v="3"/>
    <x v="1"/>
    <n v="7"/>
    <n v="6931.07"/>
    <n v="1469.39"/>
    <n v="0.21200045591806174"/>
  </r>
  <r>
    <s v="ORD-1095"/>
    <d v="2024-04-14T00:00:00"/>
    <x v="2"/>
    <x v="2"/>
    <x v="2"/>
    <n v="9"/>
    <n v="15747.3"/>
    <n v="3189.22"/>
    <n v="0.20252487728054969"/>
  </r>
  <r>
    <s v="ORD-1096"/>
    <d v="2024-09-24T00:00:00"/>
    <x v="2"/>
    <x v="1"/>
    <x v="0"/>
    <n v="9"/>
    <n v="14420.85"/>
    <n v="983.94"/>
    <n v="6.8230374769864474E-2"/>
  </r>
  <r>
    <s v="ORD-1097"/>
    <d v="2024-07-22T00:00:00"/>
    <x v="4"/>
    <x v="2"/>
    <x v="2"/>
    <n v="6"/>
    <n v="963.71"/>
    <n v="193.35"/>
    <n v="0.20063089518631122"/>
  </r>
  <r>
    <s v="ORD-1098"/>
    <d v="2024-11-15T00:00:00"/>
    <x v="1"/>
    <x v="1"/>
    <x v="2"/>
    <n v="7"/>
    <n v="9240.3799999999992"/>
    <n v="1725.61"/>
    <n v="0.18674664894733767"/>
  </r>
  <r>
    <s v="ORD-1099"/>
    <d v="2024-07-20T00:00:00"/>
    <x v="3"/>
    <x v="0"/>
    <x v="0"/>
    <n v="7"/>
    <n v="11783.5"/>
    <n v="2250.6999999999998"/>
    <n v="0.19100437051809732"/>
  </r>
  <r>
    <s v="ORD-1100"/>
    <d v="2024-11-25T00:00:00"/>
    <x v="2"/>
    <x v="3"/>
    <x v="0"/>
    <n v="7"/>
    <n v="9066.68"/>
    <n v="778.33"/>
    <n v="8.5845094345449499E-2"/>
  </r>
  <r>
    <s v="ORD-1101"/>
    <d v="2024-10-13T00:00:00"/>
    <x v="4"/>
    <x v="2"/>
    <x v="2"/>
    <n v="4"/>
    <n v="5385.25"/>
    <n v="841.77"/>
    <n v="0.15631029200129984"/>
  </r>
  <r>
    <s v="ORD-1102"/>
    <d v="2024-05-26T00:00:00"/>
    <x v="0"/>
    <x v="2"/>
    <x v="2"/>
    <n v="5"/>
    <n v="12433.49"/>
    <n v="2489.5100000000002"/>
    <n v="0.20022616337005944"/>
  </r>
  <r>
    <s v="ORD-1103"/>
    <d v="2024-04-17T00:00:00"/>
    <x v="2"/>
    <x v="2"/>
    <x v="2"/>
    <n v="10"/>
    <n v="4832.75"/>
    <n v="647.71"/>
    <n v="0.13402514096528892"/>
  </r>
  <r>
    <s v="ORD-1104"/>
    <d v="2024-10-14T00:00:00"/>
    <x v="3"/>
    <x v="3"/>
    <x v="2"/>
    <n v="8"/>
    <n v="16184.1"/>
    <n v="1638.94"/>
    <n v="0.10126852898832805"/>
  </r>
  <r>
    <s v="ORD-1105"/>
    <d v="2024-01-08T00:00:00"/>
    <x v="4"/>
    <x v="1"/>
    <x v="0"/>
    <n v="3"/>
    <n v="10089.049999999999"/>
    <n v="1904.63"/>
    <n v="0.18878189720538607"/>
  </r>
  <r>
    <s v="ORD-1106"/>
    <d v="2024-07-09T00:00:00"/>
    <x v="3"/>
    <x v="0"/>
    <x v="2"/>
    <n v="6"/>
    <n v="10554.03"/>
    <n v="601.37"/>
    <n v="5.698012986508471E-2"/>
  </r>
  <r>
    <s v="ORD-1107"/>
    <d v="2024-10-16T00:00:00"/>
    <x v="3"/>
    <x v="1"/>
    <x v="0"/>
    <n v="10"/>
    <n v="3722.21"/>
    <n v="570.04999999999995"/>
    <n v="0.15314826406892679"/>
  </r>
  <r>
    <s v="ORD-1108"/>
    <d v="2024-08-25T00:00:00"/>
    <x v="4"/>
    <x v="0"/>
    <x v="0"/>
    <n v="2"/>
    <n v="10632.89"/>
    <n v="833.39"/>
    <n v="7.8378502928178509E-2"/>
  </r>
  <r>
    <s v="ORD-1109"/>
    <d v="2024-07-17T00:00:00"/>
    <x v="1"/>
    <x v="1"/>
    <x v="0"/>
    <n v="9"/>
    <n v="19410.310000000001"/>
    <n v="3885.93"/>
    <n v="0.20019927553964875"/>
  </r>
  <r>
    <s v="ORD-1110"/>
    <d v="2024-10-15T00:00:00"/>
    <x v="0"/>
    <x v="0"/>
    <x v="0"/>
    <n v="3"/>
    <n v="3860.2"/>
    <n v="827.57"/>
    <n v="0.21438526501217556"/>
  </r>
  <r>
    <s v="ORD-1111"/>
    <d v="2024-09-15T00:00:00"/>
    <x v="1"/>
    <x v="2"/>
    <x v="2"/>
    <n v="2"/>
    <n v="12063.42"/>
    <n v="2500.23"/>
    <n v="0.20725714598347733"/>
  </r>
  <r>
    <s v="ORD-1112"/>
    <d v="2024-03-18T00:00:00"/>
    <x v="3"/>
    <x v="3"/>
    <x v="0"/>
    <n v="1"/>
    <n v="9050.2999999999993"/>
    <n v="650.97"/>
    <n v="7.1928002386661222E-2"/>
  </r>
  <r>
    <s v="ORD-1113"/>
    <d v="2024-09-14T00:00:00"/>
    <x v="0"/>
    <x v="3"/>
    <x v="1"/>
    <n v="7"/>
    <n v="19324.490000000002"/>
    <n v="1866.13"/>
    <n v="9.6568137115132138E-2"/>
  </r>
  <r>
    <s v="ORD-1114"/>
    <d v="2024-09-05T00:00:00"/>
    <x v="0"/>
    <x v="0"/>
    <x v="2"/>
    <n v="6"/>
    <n v="3155.89"/>
    <n v="515.04"/>
    <n v="0.16319960454895449"/>
  </r>
  <r>
    <s v="ORD-1115"/>
    <d v="2024-04-24T00:00:00"/>
    <x v="3"/>
    <x v="1"/>
    <x v="2"/>
    <n v="7"/>
    <n v="15973.86"/>
    <n v="2529.89"/>
    <n v="0.15837687321661764"/>
  </r>
  <r>
    <s v="ORD-1116"/>
    <d v="2024-04-19T00:00:00"/>
    <x v="2"/>
    <x v="0"/>
    <x v="0"/>
    <n v="9"/>
    <n v="18883.939999999999"/>
    <n v="1099.96"/>
    <n v="5.8248437561229285E-2"/>
  </r>
  <r>
    <s v="ORD-1117"/>
    <d v="2024-09-14T00:00:00"/>
    <x v="1"/>
    <x v="3"/>
    <x v="2"/>
    <n v="3"/>
    <n v="3554.22"/>
    <n v="423.76"/>
    <n v="0.11922728474883379"/>
  </r>
  <r>
    <s v="ORD-1118"/>
    <d v="2024-05-05T00:00:00"/>
    <x v="0"/>
    <x v="2"/>
    <x v="2"/>
    <n v="8"/>
    <n v="12169.92"/>
    <n v="1020.35"/>
    <n v="8.3841964450053902E-2"/>
  </r>
  <r>
    <s v="ORD-1119"/>
    <d v="2024-11-16T00:00:00"/>
    <x v="1"/>
    <x v="0"/>
    <x v="0"/>
    <n v="6"/>
    <n v="8804.77"/>
    <n v="479.89"/>
    <n v="5.4503411219145981E-2"/>
  </r>
  <r>
    <s v="ORD-1120"/>
    <d v="2024-01-13T00:00:00"/>
    <x v="1"/>
    <x v="1"/>
    <x v="2"/>
    <n v="9"/>
    <n v="5488.55"/>
    <n v="573.85"/>
    <n v="0.10455402610889944"/>
  </r>
  <r>
    <s v="ORD-1121"/>
    <d v="2024-12-27T00:00:00"/>
    <x v="0"/>
    <x v="2"/>
    <x v="1"/>
    <n v="6"/>
    <n v="3905.98"/>
    <n v="243.87"/>
    <n v="6.243503550965443E-2"/>
  </r>
  <r>
    <s v="ORD-1122"/>
    <d v="2024-11-12T00:00:00"/>
    <x v="2"/>
    <x v="0"/>
    <x v="1"/>
    <n v="4"/>
    <n v="16346.67"/>
    <n v="2449.8000000000002"/>
    <n v="0.14986538542712369"/>
  </r>
  <r>
    <s v="ORD-1123"/>
    <d v="2024-06-11T00:00:00"/>
    <x v="2"/>
    <x v="1"/>
    <x v="1"/>
    <n v="9"/>
    <n v="19690.36"/>
    <n v="1805.7"/>
    <n v="9.170477330023423E-2"/>
  </r>
  <r>
    <s v="ORD-1124"/>
    <d v="2024-09-02T00:00:00"/>
    <x v="4"/>
    <x v="1"/>
    <x v="1"/>
    <n v="4"/>
    <n v="18651.3"/>
    <n v="2428.94"/>
    <n v="0.13022899208098096"/>
  </r>
  <r>
    <s v="ORD-1125"/>
    <d v="2024-07-15T00:00:00"/>
    <x v="4"/>
    <x v="2"/>
    <x v="1"/>
    <n v="1"/>
    <n v="2958.09"/>
    <n v="257.18"/>
    <n v="8.6941235729812147E-2"/>
  </r>
  <r>
    <s v="ORD-1126"/>
    <d v="2024-08-26T00:00:00"/>
    <x v="3"/>
    <x v="2"/>
    <x v="2"/>
    <n v="3"/>
    <n v="10175.799999999999"/>
    <n v="2047.79"/>
    <n v="0.20124118005463945"/>
  </r>
  <r>
    <s v="ORD-1127"/>
    <d v="2024-04-16T00:00:00"/>
    <x v="0"/>
    <x v="1"/>
    <x v="2"/>
    <n v="2"/>
    <n v="19038.400000000001"/>
    <n v="2950.58"/>
    <n v="0.15498046054290274"/>
  </r>
  <r>
    <s v="ORD-1128"/>
    <d v="2024-01-10T00:00:00"/>
    <x v="3"/>
    <x v="0"/>
    <x v="2"/>
    <n v="5"/>
    <n v="14305.9"/>
    <n v="2089.79"/>
    <n v="0.14607889052768439"/>
  </r>
  <r>
    <s v="ORD-1129"/>
    <d v="2024-12-09T00:00:00"/>
    <x v="3"/>
    <x v="2"/>
    <x v="1"/>
    <n v="7"/>
    <n v="13956.79"/>
    <n v="1065.9000000000001"/>
    <n v="7.6371429246983008E-2"/>
  </r>
  <r>
    <s v="ORD-1130"/>
    <d v="2024-02-18T00:00:00"/>
    <x v="1"/>
    <x v="2"/>
    <x v="1"/>
    <n v="6"/>
    <n v="1271.0899999999999"/>
    <n v="199.36"/>
    <n v="0.15684176572862663"/>
  </r>
  <r>
    <s v="ORD-1131"/>
    <d v="2024-03-15T00:00:00"/>
    <x v="3"/>
    <x v="2"/>
    <x v="2"/>
    <n v="1"/>
    <n v="7912.65"/>
    <n v="1254.82"/>
    <n v="0.1585840394810841"/>
  </r>
  <r>
    <s v="ORD-1132"/>
    <d v="2024-06-02T00:00:00"/>
    <x v="0"/>
    <x v="0"/>
    <x v="1"/>
    <n v="3"/>
    <n v="2437.52"/>
    <n v="335.77"/>
    <n v="0.13775066460993141"/>
  </r>
  <r>
    <s v="ORD-1133"/>
    <d v="2024-12-11T00:00:00"/>
    <x v="2"/>
    <x v="0"/>
    <x v="0"/>
    <n v="4"/>
    <n v="15731.59"/>
    <n v="3196.37"/>
    <n v="0.20318162372652732"/>
  </r>
  <r>
    <s v="ORD-1134"/>
    <d v="2024-04-26T00:00:00"/>
    <x v="2"/>
    <x v="1"/>
    <x v="0"/>
    <n v="8"/>
    <n v="2613"/>
    <n v="191.84"/>
    <n v="7.341752774588596E-2"/>
  </r>
  <r>
    <s v="ORD-1135"/>
    <d v="2024-04-24T00:00:00"/>
    <x v="3"/>
    <x v="1"/>
    <x v="0"/>
    <n v="4"/>
    <n v="13973.67"/>
    <n v="3129.69"/>
    <n v="0.22397051025249631"/>
  </r>
  <r>
    <s v="ORD-1136"/>
    <d v="2024-03-13T00:00:00"/>
    <x v="3"/>
    <x v="3"/>
    <x v="2"/>
    <n v="7"/>
    <n v="9195.3700000000008"/>
    <n v="1803.11"/>
    <n v="0.19608890126226566"/>
  </r>
  <r>
    <s v="ORD-1137"/>
    <d v="2024-11-23T00:00:00"/>
    <x v="4"/>
    <x v="2"/>
    <x v="0"/>
    <n v="10"/>
    <n v="6488.02"/>
    <n v="914.65"/>
    <n v="0.14097521277677935"/>
  </r>
  <r>
    <s v="ORD-1138"/>
    <d v="2024-01-27T00:00:00"/>
    <x v="1"/>
    <x v="0"/>
    <x v="2"/>
    <n v="3"/>
    <n v="4059.37"/>
    <n v="981.86"/>
    <n v="0.24187497074669223"/>
  </r>
  <r>
    <s v="ORD-1139"/>
    <d v="2024-11-16T00:00:00"/>
    <x v="1"/>
    <x v="2"/>
    <x v="2"/>
    <n v="7"/>
    <n v="10452.9"/>
    <n v="2533.81"/>
    <n v="0.24240258684192903"/>
  </r>
  <r>
    <s v="ORD-1140"/>
    <d v="2024-01-15T00:00:00"/>
    <x v="4"/>
    <x v="1"/>
    <x v="2"/>
    <n v="2"/>
    <n v="7900.61"/>
    <n v="1856.09"/>
    <n v="0.23492996110426917"/>
  </r>
  <r>
    <s v="ORD-1141"/>
    <d v="2024-09-20T00:00:00"/>
    <x v="1"/>
    <x v="1"/>
    <x v="0"/>
    <n v="8"/>
    <n v="9472.16"/>
    <n v="802.09"/>
    <n v="8.4678679414199085E-2"/>
  </r>
  <r>
    <s v="ORD-1142"/>
    <d v="2024-04-01T00:00:00"/>
    <x v="0"/>
    <x v="3"/>
    <x v="1"/>
    <n v="6"/>
    <n v="12599.33"/>
    <n v="2901.23"/>
    <n v="0.23026859364743998"/>
  </r>
  <r>
    <s v="ORD-1143"/>
    <d v="2024-05-13T00:00:00"/>
    <x v="3"/>
    <x v="0"/>
    <x v="0"/>
    <n v="3"/>
    <n v="2062.31"/>
    <n v="418.43"/>
    <n v="0.20289384234183999"/>
  </r>
  <r>
    <s v="ORD-1144"/>
    <d v="2024-10-22T00:00:00"/>
    <x v="1"/>
    <x v="1"/>
    <x v="0"/>
    <n v="2"/>
    <n v="10266.83"/>
    <n v="2093.86"/>
    <n v="0.20394415803125213"/>
  </r>
  <r>
    <s v="ORD-1145"/>
    <d v="2024-06-17T00:00:00"/>
    <x v="3"/>
    <x v="3"/>
    <x v="1"/>
    <n v="7"/>
    <n v="6136.41"/>
    <n v="723.28"/>
    <n v="0.11786696130147757"/>
  </r>
  <r>
    <s v="ORD-1146"/>
    <d v="2024-01-28T00:00:00"/>
    <x v="1"/>
    <x v="3"/>
    <x v="2"/>
    <n v="7"/>
    <n v="5721.01"/>
    <n v="342.18"/>
    <n v="5.9811117267755169E-2"/>
  </r>
  <r>
    <s v="ORD-1147"/>
    <d v="2024-11-04T00:00:00"/>
    <x v="4"/>
    <x v="2"/>
    <x v="2"/>
    <n v="5"/>
    <n v="15675.78"/>
    <n v="2291.9499999999998"/>
    <n v="0.14620963039797699"/>
  </r>
  <r>
    <s v="ORD-1148"/>
    <d v="2024-05-07T00:00:00"/>
    <x v="1"/>
    <x v="0"/>
    <x v="0"/>
    <n v="2"/>
    <n v="16655.52"/>
    <n v="2424.88"/>
    <n v="0.14559017070616828"/>
  </r>
  <r>
    <s v="ORD-1149"/>
    <d v="2024-10-20T00:00:00"/>
    <x v="2"/>
    <x v="1"/>
    <x v="0"/>
    <n v="3"/>
    <n v="16170"/>
    <n v="2422.85"/>
    <n v="0.14983611626468768"/>
  </r>
  <r>
    <s v="ORD-1150"/>
    <d v="2024-08-16T00:00:00"/>
    <x v="3"/>
    <x v="2"/>
    <x v="1"/>
    <n v="5"/>
    <n v="11787.42"/>
    <n v="2394.15"/>
    <n v="0.20311060435616954"/>
  </r>
  <r>
    <s v="ORD-1151"/>
    <d v="2024-12-01T00:00:00"/>
    <x v="0"/>
    <x v="0"/>
    <x v="2"/>
    <n v="5"/>
    <n v="19818.89"/>
    <n v="2309.58"/>
    <n v="0.1165342761375637"/>
  </r>
  <r>
    <s v="ORD-1152"/>
    <d v="2024-07-05T00:00:00"/>
    <x v="0"/>
    <x v="0"/>
    <x v="0"/>
    <n v="6"/>
    <n v="19166.740000000002"/>
    <n v="2287.54"/>
    <n v="0.11934945640207983"/>
  </r>
  <r>
    <s v="ORD-1153"/>
    <d v="2024-09-03T00:00:00"/>
    <x v="2"/>
    <x v="3"/>
    <x v="2"/>
    <n v="7"/>
    <n v="4338.09"/>
    <n v="616.51"/>
    <n v="0.14211553932721543"/>
  </r>
  <r>
    <s v="ORD-1154"/>
    <d v="2024-08-11T00:00:00"/>
    <x v="1"/>
    <x v="3"/>
    <x v="1"/>
    <n v="4"/>
    <n v="17918.45"/>
    <n v="3514.53"/>
    <n v="0.19614029115241552"/>
  </r>
  <r>
    <s v="ORD-1155"/>
    <d v="2024-08-05T00:00:00"/>
    <x v="0"/>
    <x v="2"/>
    <x v="2"/>
    <n v="5"/>
    <n v="16507.310000000001"/>
    <n v="2124.42"/>
    <n v="0.12869571117280768"/>
  </r>
  <r>
    <s v="ORD-1156"/>
    <d v="2024-02-26T00:00:00"/>
    <x v="1"/>
    <x v="2"/>
    <x v="0"/>
    <n v="9"/>
    <n v="18091.7"/>
    <n v="1880.07"/>
    <n v="0.10391892414753726"/>
  </r>
  <r>
    <s v="ORD-1157"/>
    <d v="2024-11-05T00:00:00"/>
    <x v="4"/>
    <x v="0"/>
    <x v="1"/>
    <n v="4"/>
    <n v="19800.240000000002"/>
    <n v="1547.32"/>
    <n v="7.8146527516838177E-2"/>
  </r>
  <r>
    <s v="ORD-1158"/>
    <d v="2024-02-15T00:00:00"/>
    <x v="3"/>
    <x v="0"/>
    <x v="1"/>
    <n v="4"/>
    <n v="12358.16"/>
    <n v="1003.34"/>
    <n v="8.1188461712746879E-2"/>
  </r>
  <r>
    <s v="ORD-1159"/>
    <d v="2024-05-20T00:00:00"/>
    <x v="3"/>
    <x v="1"/>
    <x v="0"/>
    <n v="10"/>
    <n v="13957.79"/>
    <n v="2232.61"/>
    <n v="0.15995440538939187"/>
  </r>
  <r>
    <s v="ORD-1160"/>
    <d v="2024-06-14T00:00:00"/>
    <x v="1"/>
    <x v="1"/>
    <x v="2"/>
    <n v="5"/>
    <n v="4624.92"/>
    <n v="237.59"/>
    <n v="5.1371699402368041E-2"/>
  </r>
  <r>
    <s v="ORD-1161"/>
    <d v="2024-08-11T00:00:00"/>
    <x v="2"/>
    <x v="2"/>
    <x v="0"/>
    <n v="2"/>
    <n v="18275.919999999998"/>
    <n v="4080.74"/>
    <n v="0.22328506581337629"/>
  </r>
  <r>
    <s v="ORD-1162"/>
    <d v="2024-05-14T00:00:00"/>
    <x v="2"/>
    <x v="0"/>
    <x v="2"/>
    <n v="1"/>
    <n v="15338.56"/>
    <n v="2341.3200000000002"/>
    <n v="0.15264275134041266"/>
  </r>
  <r>
    <s v="ORD-1163"/>
    <d v="2024-05-10T00:00:00"/>
    <x v="1"/>
    <x v="0"/>
    <x v="1"/>
    <n v="3"/>
    <n v="19086.11"/>
    <n v="996.7"/>
    <n v="5.22212226587817E-2"/>
  </r>
  <r>
    <s v="ORD-1164"/>
    <d v="2024-03-26T00:00:00"/>
    <x v="4"/>
    <x v="0"/>
    <x v="0"/>
    <n v="4"/>
    <n v="14437.93"/>
    <n v="1746.21"/>
    <n v="0.1209460081881544"/>
  </r>
  <r>
    <s v="ORD-1165"/>
    <d v="2024-03-07T00:00:00"/>
    <x v="2"/>
    <x v="1"/>
    <x v="2"/>
    <n v="7"/>
    <n v="17396.12"/>
    <n v="1513.28"/>
    <n v="8.698951260395997E-2"/>
  </r>
  <r>
    <s v="ORD-1166"/>
    <d v="2024-12-13T00:00:00"/>
    <x v="0"/>
    <x v="3"/>
    <x v="0"/>
    <n v="5"/>
    <n v="3723.76"/>
    <n v="437.19"/>
    <n v="0.11740552559778288"/>
  </r>
  <r>
    <s v="ORD-1167"/>
    <d v="2024-01-04T00:00:00"/>
    <x v="2"/>
    <x v="3"/>
    <x v="1"/>
    <n v="1"/>
    <n v="15683.59"/>
    <n v="1322.85"/>
    <n v="8.4346122284502459E-2"/>
  </r>
  <r>
    <s v="ORD-1168"/>
    <d v="2024-04-03T00:00:00"/>
    <x v="2"/>
    <x v="3"/>
    <x v="0"/>
    <n v="8"/>
    <n v="14322.69"/>
    <n v="857.46"/>
    <n v="5.9867245608192315E-2"/>
  </r>
  <r>
    <s v="ORD-1169"/>
    <d v="2024-09-12T00:00:00"/>
    <x v="3"/>
    <x v="0"/>
    <x v="2"/>
    <n v="8"/>
    <n v="2994.71"/>
    <n v="355.39"/>
    <n v="0.1186725926717445"/>
  </r>
  <r>
    <s v="ORD-1170"/>
    <d v="2024-01-16T00:00:00"/>
    <x v="2"/>
    <x v="3"/>
    <x v="2"/>
    <n v="4"/>
    <n v="15441.88"/>
    <n v="2432.7399999999998"/>
    <n v="0.15754169829062264"/>
  </r>
  <r>
    <s v="ORD-1171"/>
    <d v="2024-12-21T00:00:00"/>
    <x v="1"/>
    <x v="0"/>
    <x v="2"/>
    <n v="5"/>
    <n v="1266.5"/>
    <n v="85.54"/>
    <n v="6.7540465850769837E-2"/>
  </r>
  <r>
    <s v="ORD-1172"/>
    <d v="2024-10-17T00:00:00"/>
    <x v="1"/>
    <x v="2"/>
    <x v="2"/>
    <n v="2"/>
    <n v="15647.08"/>
    <n v="3629.26"/>
    <n v="0.23194487405956896"/>
  </r>
  <r>
    <s v="ORD-1173"/>
    <d v="2024-09-25T00:00:00"/>
    <x v="2"/>
    <x v="3"/>
    <x v="1"/>
    <n v="3"/>
    <n v="15356.04"/>
    <n v="2692.01"/>
    <n v="0.17530626385448334"/>
  </r>
  <r>
    <s v="ORD-1174"/>
    <d v="2024-07-15T00:00:00"/>
    <x v="4"/>
    <x v="1"/>
    <x v="0"/>
    <n v="4"/>
    <n v="10251.26"/>
    <n v="1808.34"/>
    <n v="0.17640173012878416"/>
  </r>
  <r>
    <s v="ORD-1175"/>
    <d v="2024-02-01T00:00:00"/>
    <x v="4"/>
    <x v="1"/>
    <x v="1"/>
    <n v="6"/>
    <n v="7331.06"/>
    <n v="1715.93"/>
    <n v="0.23406301407981928"/>
  </r>
  <r>
    <s v="ORD-1176"/>
    <d v="2024-11-14T00:00:00"/>
    <x v="1"/>
    <x v="0"/>
    <x v="1"/>
    <n v="2"/>
    <n v="5437.74"/>
    <n v="1189.29"/>
    <n v="0.21871034657780622"/>
  </r>
  <r>
    <s v="ORD-1177"/>
    <d v="2024-09-21T00:00:00"/>
    <x v="0"/>
    <x v="0"/>
    <x v="2"/>
    <n v="8"/>
    <n v="10722.2"/>
    <n v="649.41"/>
    <n v="6.0566861278468963E-2"/>
  </r>
  <r>
    <s v="ORD-1178"/>
    <d v="2024-07-21T00:00:00"/>
    <x v="0"/>
    <x v="0"/>
    <x v="2"/>
    <n v="1"/>
    <n v="9701.82"/>
    <n v="1362.9"/>
    <n v="0.14047879676184469"/>
  </r>
  <r>
    <s v="ORD-1179"/>
    <d v="2024-09-21T00:00:00"/>
    <x v="2"/>
    <x v="2"/>
    <x v="1"/>
    <n v="3"/>
    <n v="6387.66"/>
    <n v="845.59"/>
    <n v="0.13237868014265006"/>
  </r>
  <r>
    <s v="ORD-1180"/>
    <d v="2024-05-04T00:00:00"/>
    <x v="0"/>
    <x v="0"/>
    <x v="2"/>
    <n v="5"/>
    <n v="1392.39"/>
    <n v="128.51"/>
    <n v="9.2294543913702329E-2"/>
  </r>
  <r>
    <s v="ORD-1181"/>
    <d v="2024-12-27T00:00:00"/>
    <x v="0"/>
    <x v="1"/>
    <x v="1"/>
    <n v="8"/>
    <n v="5963.1"/>
    <n v="869.2"/>
    <n v="0.14576310979188678"/>
  </r>
  <r>
    <s v="ORD-1182"/>
    <d v="2024-03-08T00:00:00"/>
    <x v="1"/>
    <x v="2"/>
    <x v="0"/>
    <n v="9"/>
    <n v="10614.5"/>
    <n v="1399.32"/>
    <n v="0.13183098591549294"/>
  </r>
  <r>
    <s v="ORD-1183"/>
    <d v="2024-10-06T00:00:00"/>
    <x v="2"/>
    <x v="1"/>
    <x v="1"/>
    <n v="4"/>
    <n v="10852.27"/>
    <n v="1028.6199999999999"/>
    <n v="9.4783856280759679E-2"/>
  </r>
  <r>
    <s v="ORD-1184"/>
    <d v="2024-12-04T00:00:00"/>
    <x v="2"/>
    <x v="3"/>
    <x v="1"/>
    <n v="6"/>
    <n v="14575.82"/>
    <n v="903.74"/>
    <n v="6.2002686641300458E-2"/>
  </r>
  <r>
    <s v="ORD-1185"/>
    <d v="2024-11-27T00:00:00"/>
    <x v="2"/>
    <x v="1"/>
    <x v="0"/>
    <n v="6"/>
    <n v="10821.36"/>
    <n v="2050.61"/>
    <n v="0.18949651430134476"/>
  </r>
  <r>
    <s v="ORD-1186"/>
    <d v="2024-02-05T00:00:00"/>
    <x v="4"/>
    <x v="1"/>
    <x v="2"/>
    <n v="2"/>
    <n v="2443.62"/>
    <n v="474.75"/>
    <n v="0.19428143492032313"/>
  </r>
  <r>
    <s v="ORD-1187"/>
    <d v="2024-06-12T00:00:00"/>
    <x v="4"/>
    <x v="0"/>
    <x v="0"/>
    <n v="6"/>
    <n v="2149.98"/>
    <n v="530.99"/>
    <n v="0.24697439045944614"/>
  </r>
  <r>
    <s v="ORD-1188"/>
    <d v="2024-11-03T00:00:00"/>
    <x v="1"/>
    <x v="0"/>
    <x v="1"/>
    <n v="6"/>
    <n v="11781.57"/>
    <n v="2680.57"/>
    <n v="0.22752230814738614"/>
  </r>
  <r>
    <s v="ORD-1189"/>
    <d v="2024-06-13T00:00:00"/>
    <x v="1"/>
    <x v="0"/>
    <x v="1"/>
    <n v="4"/>
    <n v="7369.7"/>
    <n v="539.6"/>
    <n v="7.3218719893618472E-2"/>
  </r>
  <r>
    <s v="ORD-1190"/>
    <d v="2024-08-27T00:00:00"/>
    <x v="0"/>
    <x v="2"/>
    <x v="1"/>
    <n v="5"/>
    <n v="12887.5"/>
    <n v="3204.53"/>
    <n v="0.24865412221144523"/>
  </r>
  <r>
    <s v="ORD-1191"/>
    <d v="2024-04-03T00:00:00"/>
    <x v="2"/>
    <x v="1"/>
    <x v="0"/>
    <n v="7"/>
    <n v="15822.37"/>
    <n v="807.52"/>
    <n v="5.1036601975557386E-2"/>
  </r>
  <r>
    <s v="ORD-1192"/>
    <d v="2024-06-01T00:00:00"/>
    <x v="0"/>
    <x v="2"/>
    <x v="1"/>
    <n v="6"/>
    <n v="11912.07"/>
    <n v="748"/>
    <n v="6.279345235546803E-2"/>
  </r>
  <r>
    <s v="ORD-1193"/>
    <d v="2024-03-12T00:00:00"/>
    <x v="4"/>
    <x v="0"/>
    <x v="2"/>
    <n v="8"/>
    <n v="7407.39"/>
    <n v="740.03"/>
    <n v="9.9904284775069213E-2"/>
  </r>
  <r>
    <s v="ORD-1194"/>
    <d v="2024-05-20T00:00:00"/>
    <x v="3"/>
    <x v="3"/>
    <x v="0"/>
    <n v="10"/>
    <n v="5510.88"/>
    <n v="672.25"/>
    <n v="0.12198596231454867"/>
  </r>
  <r>
    <s v="ORD-1195"/>
    <d v="2024-10-05T00:00:00"/>
    <x v="4"/>
    <x v="2"/>
    <x v="2"/>
    <n v="5"/>
    <n v="9073.2000000000007"/>
    <n v="1323.78"/>
    <n v="0.14590001322576376"/>
  </r>
  <r>
    <s v="ORD-1196"/>
    <d v="2024-06-28T00:00:00"/>
    <x v="4"/>
    <x v="1"/>
    <x v="2"/>
    <n v="9"/>
    <n v="5273.04"/>
    <n v="454.62"/>
    <n v="8.6215920986755276E-2"/>
  </r>
  <r>
    <s v="ORD-1197"/>
    <d v="2024-04-28T00:00:00"/>
    <x v="0"/>
    <x v="1"/>
    <x v="0"/>
    <n v="7"/>
    <n v="2797.79"/>
    <n v="541.27"/>
    <n v="0.19346341219319535"/>
  </r>
  <r>
    <s v="ORD-1198"/>
    <d v="2024-03-25T00:00:00"/>
    <x v="1"/>
    <x v="1"/>
    <x v="0"/>
    <n v="2"/>
    <n v="17494.54"/>
    <n v="936.39"/>
    <n v="5.3524699706308368E-2"/>
  </r>
  <r>
    <s v="ORD-1199"/>
    <d v="2024-07-03T00:00:00"/>
    <x v="1"/>
    <x v="1"/>
    <x v="0"/>
    <n v="8"/>
    <n v="16879.61"/>
    <n v="920.63"/>
    <n v="5.4540952071759949E-2"/>
  </r>
  <r>
    <s v="ORD-1200"/>
    <d v="2024-09-16T00:00:00"/>
    <x v="1"/>
    <x v="1"/>
    <x v="1"/>
    <n v="5"/>
    <n v="4018.65"/>
    <n v="938.6"/>
    <n v="0.23356102173615517"/>
  </r>
  <r>
    <s v="ORD-1201"/>
    <d v="2024-11-12T00:00:00"/>
    <x v="1"/>
    <x v="3"/>
    <x v="1"/>
    <n v="2"/>
    <n v="13922.09"/>
    <n v="1150.51"/>
    <n v="8.2639172710419193E-2"/>
  </r>
  <r>
    <s v="ORD-1202"/>
    <d v="2024-11-07T00:00:00"/>
    <x v="2"/>
    <x v="2"/>
    <x v="2"/>
    <n v="7"/>
    <n v="8912.35"/>
    <n v="1635.34"/>
    <n v="0.18349144726138447"/>
  </r>
  <r>
    <s v="ORD-1203"/>
    <d v="2024-01-13T00:00:00"/>
    <x v="0"/>
    <x v="1"/>
    <x v="2"/>
    <n v="1"/>
    <n v="18230.93"/>
    <n v="2558.15"/>
    <n v="0.14031922672074326"/>
  </r>
  <r>
    <s v="ORD-1204"/>
    <d v="2024-05-06T00:00:00"/>
    <x v="0"/>
    <x v="2"/>
    <x v="2"/>
    <n v="5"/>
    <n v="7570.9"/>
    <n v="1637.13"/>
    <n v="0.21623981296807515"/>
  </r>
  <r>
    <s v="ORD-1205"/>
    <d v="2024-02-03T00:00:00"/>
    <x v="2"/>
    <x v="2"/>
    <x v="0"/>
    <n v="5"/>
    <n v="4951.6499999999996"/>
    <n v="926.13"/>
    <n v="0.18703462482202904"/>
  </r>
  <r>
    <s v="ORD-1206"/>
    <d v="2024-09-26T00:00:00"/>
    <x v="3"/>
    <x v="3"/>
    <x v="2"/>
    <n v="2"/>
    <n v="11160.29"/>
    <n v="761.84"/>
    <n v="6.8263459103661286E-2"/>
  </r>
  <r>
    <s v="ORD-1207"/>
    <d v="2024-12-12T00:00:00"/>
    <x v="0"/>
    <x v="1"/>
    <x v="2"/>
    <n v="8"/>
    <n v="5577.64"/>
    <n v="982.18"/>
    <n v="0.1760923975014522"/>
  </r>
  <r>
    <s v="ORD-1208"/>
    <d v="2024-07-10T00:00:00"/>
    <x v="1"/>
    <x v="0"/>
    <x v="0"/>
    <n v="8"/>
    <n v="17610.5"/>
    <n v="2834.58"/>
    <n v="0.16095965475142671"/>
  </r>
  <r>
    <s v="ORD-1209"/>
    <d v="2024-12-25T00:00:00"/>
    <x v="0"/>
    <x v="1"/>
    <x v="2"/>
    <n v="8"/>
    <n v="19701.400000000001"/>
    <n v="2692.85"/>
    <n v="0.13668317987554182"/>
  </r>
  <r>
    <s v="ORD-1210"/>
    <d v="2024-11-17T00:00:00"/>
    <x v="4"/>
    <x v="3"/>
    <x v="0"/>
    <n v="6"/>
    <n v="2799.07"/>
    <n v="422.52"/>
    <n v="0.15095013700979251"/>
  </r>
  <r>
    <s v="ORD-1211"/>
    <d v="2024-10-10T00:00:00"/>
    <x v="2"/>
    <x v="0"/>
    <x v="2"/>
    <n v="2"/>
    <n v="5074.38"/>
    <n v="1034.1099999999999"/>
    <n v="0.20379041380424798"/>
  </r>
  <r>
    <s v="ORD-1212"/>
    <d v="2024-10-18T00:00:00"/>
    <x v="3"/>
    <x v="1"/>
    <x v="2"/>
    <n v="2"/>
    <n v="4307.5200000000004"/>
    <n v="600.89"/>
    <n v="0.1394979013446252"/>
  </r>
  <r>
    <s v="ORD-1213"/>
    <d v="2024-04-03T00:00:00"/>
    <x v="2"/>
    <x v="1"/>
    <x v="0"/>
    <n v="3"/>
    <n v="4086.24"/>
    <n v="415.05"/>
    <n v="0.10157259485492777"/>
  </r>
  <r>
    <s v="ORD-1214"/>
    <d v="2024-12-02T00:00:00"/>
    <x v="2"/>
    <x v="0"/>
    <x v="0"/>
    <n v="5"/>
    <n v="13636.85"/>
    <n v="2933.44"/>
    <n v="0.21511126103168987"/>
  </r>
  <r>
    <s v="ORD-1215"/>
    <d v="2024-09-12T00:00:00"/>
    <x v="4"/>
    <x v="0"/>
    <x v="1"/>
    <n v="6"/>
    <n v="18002.5"/>
    <n v="2965.48"/>
    <n v="0.1647260102763505"/>
  </r>
  <r>
    <s v="ORD-1216"/>
    <d v="2024-04-01T00:00:00"/>
    <x v="3"/>
    <x v="1"/>
    <x v="2"/>
    <n v="5"/>
    <n v="14752.58"/>
    <n v="1104.03"/>
    <n v="7.4836401497229629E-2"/>
  </r>
  <r>
    <s v="ORD-1217"/>
    <d v="2024-08-20T00:00:00"/>
    <x v="1"/>
    <x v="2"/>
    <x v="2"/>
    <n v="3"/>
    <n v="17238.48"/>
    <n v="1096.8399999999999"/>
    <n v="6.3627419586877731E-2"/>
  </r>
  <r>
    <s v="ORD-1218"/>
    <d v="2024-01-08T00:00:00"/>
    <x v="0"/>
    <x v="3"/>
    <x v="1"/>
    <n v="2"/>
    <n v="672.94"/>
    <n v="48.11"/>
    <n v="7.1492257853597641E-2"/>
  </r>
  <r>
    <s v="ORD-1219"/>
    <d v="2024-10-14T00:00:00"/>
    <x v="3"/>
    <x v="0"/>
    <x v="1"/>
    <n v="7"/>
    <n v="10684.85"/>
    <n v="2375.58"/>
    <n v="0.2223316190681198"/>
  </r>
  <r>
    <s v="ORD-1220"/>
    <d v="2024-01-03T00:00:00"/>
    <x v="3"/>
    <x v="1"/>
    <x v="0"/>
    <n v="7"/>
    <n v="13777.37"/>
    <n v="899.83"/>
    <n v="6.531217496517841E-2"/>
  </r>
  <r>
    <s v="ORD-1221"/>
    <d v="2024-01-27T00:00:00"/>
    <x v="2"/>
    <x v="3"/>
    <x v="2"/>
    <n v="10"/>
    <n v="11870.17"/>
    <n v="1837.7"/>
    <n v="0.15481665384741752"/>
  </r>
  <r>
    <s v="ORD-1222"/>
    <d v="2024-04-18T00:00:00"/>
    <x v="1"/>
    <x v="3"/>
    <x v="1"/>
    <n v="2"/>
    <n v="7257.64"/>
    <n v="845.33"/>
    <n v="0.11647450135305691"/>
  </r>
  <r>
    <s v="ORD-1223"/>
    <d v="2024-04-25T00:00:00"/>
    <x v="3"/>
    <x v="0"/>
    <x v="2"/>
    <n v="8"/>
    <n v="9700.06"/>
    <n v="986.8"/>
    <n v="0.10173132949693095"/>
  </r>
  <r>
    <s v="ORD-1224"/>
    <d v="2024-09-11T00:00:00"/>
    <x v="0"/>
    <x v="0"/>
    <x v="1"/>
    <n v="7"/>
    <n v="19276.2"/>
    <n v="3686.52"/>
    <n v="0.1912472375260684"/>
  </r>
  <r>
    <s v="ORD-1225"/>
    <d v="2024-02-18T00:00:00"/>
    <x v="1"/>
    <x v="3"/>
    <x v="1"/>
    <n v="10"/>
    <n v="14915.64"/>
    <n v="1985.74"/>
    <n v="0.13313139764703358"/>
  </r>
  <r>
    <s v="ORD-1226"/>
    <d v="2024-02-03T00:00:00"/>
    <x v="0"/>
    <x v="2"/>
    <x v="1"/>
    <n v="2"/>
    <n v="13317.27"/>
    <n v="1830.44"/>
    <n v="0.13744859119023645"/>
  </r>
  <r>
    <s v="ORD-1227"/>
    <d v="2024-07-04T00:00:00"/>
    <x v="4"/>
    <x v="3"/>
    <x v="0"/>
    <n v="9"/>
    <n v="8731.0300000000007"/>
    <n v="520.16999999999996"/>
    <n v="5.9577163290012738E-2"/>
  </r>
  <r>
    <s v="ORD-1228"/>
    <d v="2024-10-08T00:00:00"/>
    <x v="3"/>
    <x v="3"/>
    <x v="0"/>
    <n v="4"/>
    <n v="11553.81"/>
    <n v="1758.96"/>
    <n v="0.1522406894349137"/>
  </r>
  <r>
    <s v="ORD-1229"/>
    <d v="2024-11-07T00:00:00"/>
    <x v="3"/>
    <x v="1"/>
    <x v="1"/>
    <n v="7"/>
    <n v="1321.5"/>
    <n v="81.05"/>
    <n v="6.1331819901626936E-2"/>
  </r>
  <r>
    <s v="ORD-1230"/>
    <d v="2024-06-10T00:00:00"/>
    <x v="2"/>
    <x v="3"/>
    <x v="1"/>
    <n v="1"/>
    <n v="3011.76"/>
    <n v="553.24"/>
    <n v="0.18369325577071213"/>
  </r>
  <r>
    <s v="ORD-1231"/>
    <d v="2024-03-11T00:00:00"/>
    <x v="1"/>
    <x v="2"/>
    <x v="2"/>
    <n v="1"/>
    <n v="2166.83"/>
    <n v="209.02"/>
    <n v="9.6463497367121565E-2"/>
  </r>
  <r>
    <s v="ORD-1232"/>
    <d v="2024-06-08T00:00:00"/>
    <x v="1"/>
    <x v="2"/>
    <x v="1"/>
    <n v="4"/>
    <n v="13459.26"/>
    <n v="2649.24"/>
    <n v="0.19683400127495862"/>
  </r>
  <r>
    <s v="ORD-1233"/>
    <d v="2024-08-12T00:00:00"/>
    <x v="1"/>
    <x v="3"/>
    <x v="2"/>
    <n v="5"/>
    <n v="4109.09"/>
    <n v="835.47"/>
    <n v="0.20332239011557304"/>
  </r>
  <r>
    <s v="ORD-1234"/>
    <d v="2024-12-28T00:00:00"/>
    <x v="4"/>
    <x v="3"/>
    <x v="0"/>
    <n v="5"/>
    <n v="978.58"/>
    <n v="134.44999999999999"/>
    <n v="0.13739295714198121"/>
  </r>
  <r>
    <s v="ORD-1235"/>
    <d v="2024-08-19T00:00:00"/>
    <x v="0"/>
    <x v="3"/>
    <x v="2"/>
    <n v="6"/>
    <n v="13813.62"/>
    <n v="2484.3000000000002"/>
    <n v="0.1798442406841943"/>
  </r>
  <r>
    <s v="ORD-1236"/>
    <d v="2024-01-06T00:00:00"/>
    <x v="0"/>
    <x v="2"/>
    <x v="0"/>
    <n v="10"/>
    <n v="12200.35"/>
    <n v="2122.2199999999998"/>
    <n v="0.17394746872015965"/>
  </r>
  <r>
    <s v="ORD-1237"/>
    <d v="2024-08-17T00:00:00"/>
    <x v="4"/>
    <x v="3"/>
    <x v="2"/>
    <n v="6"/>
    <n v="8598.1200000000008"/>
    <n v="819.59"/>
    <n v="9.5322000623392092E-2"/>
  </r>
  <r>
    <s v="ORD-1238"/>
    <d v="2024-06-01T00:00:00"/>
    <x v="4"/>
    <x v="1"/>
    <x v="0"/>
    <n v="6"/>
    <n v="8264.26"/>
    <n v="737.17"/>
    <n v="8.9199758962084916E-2"/>
  </r>
  <r>
    <s v="ORD-1239"/>
    <d v="2024-06-28T00:00:00"/>
    <x v="1"/>
    <x v="2"/>
    <x v="2"/>
    <n v="4"/>
    <n v="9018.56"/>
    <n v="806.74"/>
    <n v="8.9453305183976164E-2"/>
  </r>
  <r>
    <s v="ORD-1240"/>
    <d v="2024-10-11T00:00:00"/>
    <x v="1"/>
    <x v="2"/>
    <x v="2"/>
    <n v="3"/>
    <n v="19071.07"/>
    <n v="4350.1400000000003"/>
    <n v="0.22810151711466636"/>
  </r>
  <r>
    <s v="ORD-1241"/>
    <d v="2024-08-10T00:00:00"/>
    <x v="3"/>
    <x v="0"/>
    <x v="1"/>
    <n v="6"/>
    <n v="7689.63"/>
    <n v="892.03"/>
    <n v="0.1160042810902475"/>
  </r>
  <r>
    <s v="ORD-1242"/>
    <d v="2024-10-02T00:00:00"/>
    <x v="1"/>
    <x v="2"/>
    <x v="2"/>
    <n v="8"/>
    <n v="12829.87"/>
    <n v="2586.35"/>
    <n v="0.20158816885907649"/>
  </r>
  <r>
    <s v="ORD-1243"/>
    <d v="2024-04-18T00:00:00"/>
    <x v="1"/>
    <x v="2"/>
    <x v="2"/>
    <n v="8"/>
    <n v="11768.48"/>
    <n v="1430.42"/>
    <n v="0.1215467078161326"/>
  </r>
  <r>
    <s v="ORD-1244"/>
    <d v="2024-07-01T00:00:00"/>
    <x v="2"/>
    <x v="1"/>
    <x v="0"/>
    <n v="3"/>
    <n v="2065.61"/>
    <n v="151.22999999999999"/>
    <n v="7.3213239672542244E-2"/>
  </r>
  <r>
    <s v="ORD-1245"/>
    <d v="2024-11-20T00:00:00"/>
    <x v="4"/>
    <x v="1"/>
    <x v="0"/>
    <n v="1"/>
    <n v="3083.58"/>
    <n v="616.04999999999995"/>
    <n v="0.19978401727861769"/>
  </r>
  <r>
    <s v="ORD-1246"/>
    <d v="2024-10-10T00:00:00"/>
    <x v="0"/>
    <x v="1"/>
    <x v="0"/>
    <n v="3"/>
    <n v="19238.98"/>
    <n v="3556.02"/>
    <n v="0.18483412322274881"/>
  </r>
  <r>
    <s v="ORD-1247"/>
    <d v="2024-03-25T00:00:00"/>
    <x v="1"/>
    <x v="1"/>
    <x v="2"/>
    <n v="6"/>
    <n v="2574.23"/>
    <n v="620.27"/>
    <n v="0.24095360554418213"/>
  </r>
  <r>
    <s v="ORD-1248"/>
    <d v="2024-03-05T00:00:00"/>
    <x v="4"/>
    <x v="3"/>
    <x v="1"/>
    <n v="5"/>
    <n v="7376.24"/>
    <n v="1044.5999999999999"/>
    <n v="0.14161686713013674"/>
  </r>
  <r>
    <s v="ORD-1249"/>
    <d v="2024-06-09T00:00:00"/>
    <x v="4"/>
    <x v="3"/>
    <x v="1"/>
    <n v="5"/>
    <n v="17255.349999999999"/>
    <n v="3508.83"/>
    <n v="0.20334736762801103"/>
  </r>
  <r>
    <s v="ORD-1250"/>
    <d v="2024-10-10T00:00:00"/>
    <x v="1"/>
    <x v="2"/>
    <x v="2"/>
    <n v="7"/>
    <n v="9623.68"/>
    <n v="1929.77"/>
    <n v="0.2005230847243466"/>
  </r>
  <r>
    <s v="ORD-1251"/>
    <d v="2024-12-09T00:00:00"/>
    <x v="4"/>
    <x v="3"/>
    <x v="0"/>
    <n v="1"/>
    <n v="18227.88"/>
    <n v="2760.95"/>
    <n v="0.15146851965231281"/>
  </r>
  <r>
    <s v="ORD-1252"/>
    <d v="2024-04-28T00:00:00"/>
    <x v="2"/>
    <x v="1"/>
    <x v="0"/>
    <n v="9"/>
    <n v="15376.37"/>
    <n v="1071.05"/>
    <n v="6.9655581909124187E-2"/>
  </r>
  <r>
    <s v="ORD-1253"/>
    <d v="2024-03-22T00:00:00"/>
    <x v="4"/>
    <x v="0"/>
    <x v="0"/>
    <n v="3"/>
    <n v="7123.89"/>
    <n v="1387.01"/>
    <n v="0.19469840213703468"/>
  </r>
  <r>
    <s v="ORD-1254"/>
    <d v="2024-11-19T00:00:00"/>
    <x v="2"/>
    <x v="1"/>
    <x v="0"/>
    <n v="5"/>
    <n v="9878.25"/>
    <n v="958"/>
    <n v="9.6980740515779623E-2"/>
  </r>
  <r>
    <s v="ORD-1255"/>
    <d v="2024-03-09T00:00:00"/>
    <x v="3"/>
    <x v="2"/>
    <x v="1"/>
    <n v="7"/>
    <n v="15131.1"/>
    <n v="2479.69"/>
    <n v="0.16388035238680598"/>
  </r>
  <r>
    <s v="ORD-1256"/>
    <d v="2024-09-21T00:00:00"/>
    <x v="2"/>
    <x v="3"/>
    <x v="0"/>
    <n v="1"/>
    <n v="2358.38"/>
    <n v="374.15"/>
    <n v="0.15864703737311203"/>
  </r>
  <r>
    <s v="ORD-1257"/>
    <d v="2024-08-05T00:00:00"/>
    <x v="3"/>
    <x v="3"/>
    <x v="2"/>
    <n v="3"/>
    <n v="3204.28"/>
    <n v="427.67"/>
    <n v="0.1334683610670728"/>
  </r>
  <r>
    <s v="ORD-1258"/>
    <d v="2024-11-20T00:00:00"/>
    <x v="2"/>
    <x v="2"/>
    <x v="0"/>
    <n v="4"/>
    <n v="15250.88"/>
    <n v="3228.63"/>
    <n v="0.21170122642103278"/>
  </r>
  <r>
    <s v="ORD-1259"/>
    <d v="2024-04-21T00:00:00"/>
    <x v="2"/>
    <x v="0"/>
    <x v="0"/>
    <n v="8"/>
    <n v="8617.93"/>
    <n v="1678.98"/>
    <n v="0.19482404707394932"/>
  </r>
  <r>
    <s v="ORD-1260"/>
    <d v="2024-09-09T00:00:00"/>
    <x v="2"/>
    <x v="3"/>
    <x v="1"/>
    <n v="9"/>
    <n v="9637.2199999999993"/>
    <n v="1665.89"/>
    <n v="0.17286001564766604"/>
  </r>
  <r>
    <s v="ORD-1261"/>
    <d v="2024-08-13T00:00:00"/>
    <x v="2"/>
    <x v="3"/>
    <x v="2"/>
    <n v="4"/>
    <n v="17930.14"/>
    <n v="1953.62"/>
    <n v="0.10895731990938164"/>
  </r>
  <r>
    <s v="ORD-1262"/>
    <d v="2024-06-24T00:00:00"/>
    <x v="2"/>
    <x v="0"/>
    <x v="1"/>
    <n v="4"/>
    <n v="7824.83"/>
    <n v="1818.66"/>
    <n v="0.23242166283484755"/>
  </r>
  <r>
    <s v="ORD-1263"/>
    <d v="2024-12-03T00:00:00"/>
    <x v="2"/>
    <x v="2"/>
    <x v="0"/>
    <n v="5"/>
    <n v="14915.81"/>
    <n v="1996.18"/>
    <n v="0.13382980877337539"/>
  </r>
  <r>
    <s v="ORD-1264"/>
    <d v="2024-07-23T00:00:00"/>
    <x v="2"/>
    <x v="0"/>
    <x v="0"/>
    <n v="9"/>
    <n v="18083.66"/>
    <n v="3110.58"/>
    <n v="0.17201053326594284"/>
  </r>
  <r>
    <s v="ORD-1265"/>
    <d v="2024-01-13T00:00:00"/>
    <x v="3"/>
    <x v="0"/>
    <x v="0"/>
    <n v="7"/>
    <n v="18201.830000000002"/>
    <n v="2456.6"/>
    <n v="0.13496445137659233"/>
  </r>
  <r>
    <s v="ORD-1266"/>
    <d v="2024-06-25T00:00:00"/>
    <x v="1"/>
    <x v="0"/>
    <x v="1"/>
    <n v="1"/>
    <n v="13180.22"/>
    <n v="1617.17"/>
    <n v="0.1226967379907164"/>
  </r>
  <r>
    <s v="ORD-1267"/>
    <d v="2024-05-20T00:00:00"/>
    <x v="2"/>
    <x v="1"/>
    <x v="1"/>
    <n v="2"/>
    <n v="16383.31"/>
    <n v="2408.61"/>
    <n v="0.1470160791683732"/>
  </r>
  <r>
    <s v="ORD-1268"/>
    <d v="2024-01-17T00:00:00"/>
    <x v="2"/>
    <x v="1"/>
    <x v="0"/>
    <n v="3"/>
    <n v="5125.78"/>
    <n v="941.14"/>
    <n v="0.18360912875698918"/>
  </r>
  <r>
    <s v="ORD-1269"/>
    <d v="2024-01-11T00:00:00"/>
    <x v="2"/>
    <x v="2"/>
    <x v="1"/>
    <n v="3"/>
    <n v="11347.55"/>
    <n v="770.09"/>
    <n v="6.7863988261783387E-2"/>
  </r>
  <r>
    <s v="ORD-1270"/>
    <d v="2024-08-16T00:00:00"/>
    <x v="0"/>
    <x v="1"/>
    <x v="1"/>
    <n v="9"/>
    <n v="5933.98"/>
    <n v="771.51"/>
    <n v="0.13001560504079893"/>
  </r>
  <r>
    <s v="ORD-1271"/>
    <d v="2024-06-01T00:00:00"/>
    <x v="4"/>
    <x v="0"/>
    <x v="2"/>
    <n v="3"/>
    <n v="12200.34"/>
    <n v="827.2"/>
    <n v="6.7801389141614085E-2"/>
  </r>
  <r>
    <s v="ORD-1272"/>
    <d v="2024-12-27T00:00:00"/>
    <x v="0"/>
    <x v="1"/>
    <x v="2"/>
    <n v="1"/>
    <n v="1104.99"/>
    <n v="117.73"/>
    <n v="0.10654395062398755"/>
  </r>
  <r>
    <s v="ORD-1273"/>
    <d v="2024-09-12T00:00:00"/>
    <x v="1"/>
    <x v="2"/>
    <x v="0"/>
    <n v="2"/>
    <n v="18398.27"/>
    <n v="3367.73"/>
    <n v="0.18304601465246462"/>
  </r>
  <r>
    <s v="ORD-1274"/>
    <d v="2024-11-27T00:00:00"/>
    <x v="0"/>
    <x v="1"/>
    <x v="0"/>
    <n v="3"/>
    <n v="10717.51"/>
    <n v="1511.3"/>
    <n v="0.14101223138583494"/>
  </r>
  <r>
    <s v="ORD-1275"/>
    <d v="2024-05-09T00:00:00"/>
    <x v="1"/>
    <x v="3"/>
    <x v="0"/>
    <n v="10"/>
    <n v="8883.06"/>
    <n v="500.31"/>
    <n v="5.6321808025612798E-2"/>
  </r>
  <r>
    <s v="ORD-1276"/>
    <d v="2024-12-23T00:00:00"/>
    <x v="3"/>
    <x v="3"/>
    <x v="2"/>
    <n v="2"/>
    <n v="1511.44"/>
    <n v="186.32"/>
    <n v="0.12327316995712696"/>
  </r>
  <r>
    <s v="ORD-1277"/>
    <d v="2024-11-13T00:00:00"/>
    <x v="4"/>
    <x v="1"/>
    <x v="0"/>
    <n v="7"/>
    <n v="3218.36"/>
    <n v="457.99"/>
    <n v="0.1423053977802359"/>
  </r>
  <r>
    <s v="ORD-1278"/>
    <d v="2024-12-19T00:00:00"/>
    <x v="2"/>
    <x v="2"/>
    <x v="0"/>
    <n v="5"/>
    <n v="15916.41"/>
    <n v="3024.17"/>
    <n v="0.19000327335121425"/>
  </r>
  <r>
    <s v="ORD-1279"/>
    <d v="2024-08-03T00:00:00"/>
    <x v="1"/>
    <x v="2"/>
    <x v="0"/>
    <n v="7"/>
    <n v="15410.05"/>
    <n v="3307.07"/>
    <n v="0.21460475468930992"/>
  </r>
  <r>
    <s v="ORD-1280"/>
    <d v="2024-06-20T00:00:00"/>
    <x v="0"/>
    <x v="3"/>
    <x v="1"/>
    <n v="1"/>
    <n v="13514.94"/>
    <n v="1632.96"/>
    <n v="0.12082628557729445"/>
  </r>
  <r>
    <s v="ORD-1281"/>
    <d v="2024-08-25T00:00:00"/>
    <x v="3"/>
    <x v="3"/>
    <x v="1"/>
    <n v="2"/>
    <n v="8169.52"/>
    <n v="483.15"/>
    <n v="5.9140561501777329E-2"/>
  </r>
  <r>
    <s v="ORD-1282"/>
    <d v="2024-08-28T00:00:00"/>
    <x v="3"/>
    <x v="1"/>
    <x v="1"/>
    <n v="8"/>
    <n v="3641.42"/>
    <n v="682.14"/>
    <n v="0.18732802038765095"/>
  </r>
  <r>
    <s v="ORD-1283"/>
    <d v="2024-03-13T00:00:00"/>
    <x v="2"/>
    <x v="0"/>
    <x v="2"/>
    <n v="5"/>
    <n v="3256.89"/>
    <n v="324.11"/>
    <n v="9.9515181661032459E-2"/>
  </r>
  <r>
    <s v="ORD-1284"/>
    <d v="2024-02-26T00:00:00"/>
    <x v="2"/>
    <x v="0"/>
    <x v="2"/>
    <n v="4"/>
    <n v="11165.66"/>
    <n v="1923.99"/>
    <n v="0.17231314584180424"/>
  </r>
  <r>
    <s v="ORD-1285"/>
    <d v="2024-08-20T00:00:00"/>
    <x v="2"/>
    <x v="2"/>
    <x v="2"/>
    <n v="9"/>
    <n v="14608.55"/>
    <n v="3561.43"/>
    <n v="0.24379079374749718"/>
  </r>
  <r>
    <s v="ORD-1286"/>
    <d v="2024-09-04T00:00:00"/>
    <x v="4"/>
    <x v="1"/>
    <x v="1"/>
    <n v="8"/>
    <n v="9694.0499999999993"/>
    <n v="1543.92"/>
    <n v="0.15926470360685163"/>
  </r>
  <r>
    <s v="ORD-1287"/>
    <d v="2024-11-12T00:00:00"/>
    <x v="4"/>
    <x v="2"/>
    <x v="0"/>
    <n v="8"/>
    <n v="4000.58"/>
    <n v="275.17"/>
    <n v="6.8782526533652619E-2"/>
  </r>
  <r>
    <s v="ORD-1288"/>
    <d v="2024-05-28T00:00:00"/>
    <x v="0"/>
    <x v="3"/>
    <x v="1"/>
    <n v="1"/>
    <n v="8396.6"/>
    <n v="1618.73"/>
    <n v="0.19278398399352117"/>
  </r>
  <r>
    <s v="ORD-1289"/>
    <d v="2024-06-22T00:00:00"/>
    <x v="4"/>
    <x v="0"/>
    <x v="1"/>
    <n v="6"/>
    <n v="15295.02"/>
    <n v="3800.03"/>
    <n v="0.24844884151835042"/>
  </r>
  <r>
    <s v="ORD-1290"/>
    <d v="2024-05-08T00:00:00"/>
    <x v="2"/>
    <x v="0"/>
    <x v="2"/>
    <n v="5"/>
    <n v="5728.99"/>
    <n v="329.04"/>
    <n v="5.7434207425741714E-2"/>
  </r>
  <r>
    <s v="ORD-1291"/>
    <d v="2024-09-25T00:00:00"/>
    <x v="1"/>
    <x v="0"/>
    <x v="0"/>
    <n v="1"/>
    <n v="12101.88"/>
    <n v="2329.25"/>
    <n v="0.19247009555540132"/>
  </r>
  <r>
    <s v="ORD-1292"/>
    <d v="2024-08-14T00:00:00"/>
    <x v="4"/>
    <x v="1"/>
    <x v="2"/>
    <n v="9"/>
    <n v="16661.330000000002"/>
    <n v="2784.27"/>
    <n v="0.16710970852867085"/>
  </r>
  <r>
    <s v="ORD-1293"/>
    <d v="2024-05-15T00:00:00"/>
    <x v="2"/>
    <x v="0"/>
    <x v="1"/>
    <n v="7"/>
    <n v="13555.17"/>
    <n v="2427.42"/>
    <n v="0.17907706063442952"/>
  </r>
  <r>
    <s v="ORD-1294"/>
    <d v="2024-12-01T00:00:00"/>
    <x v="3"/>
    <x v="0"/>
    <x v="0"/>
    <n v="4"/>
    <n v="3739.95"/>
    <n v="432.75"/>
    <n v="0.11571010307624434"/>
  </r>
  <r>
    <s v="ORD-1295"/>
    <d v="2024-05-02T00:00:00"/>
    <x v="4"/>
    <x v="1"/>
    <x v="2"/>
    <n v="4"/>
    <n v="1007.25"/>
    <n v="165.54"/>
    <n v="0.16434847356664184"/>
  </r>
  <r>
    <s v="ORD-1296"/>
    <d v="2024-09-22T00:00:00"/>
    <x v="4"/>
    <x v="1"/>
    <x v="0"/>
    <n v="9"/>
    <n v="5834.36"/>
    <n v="1085.48"/>
    <n v="0.18604954099507059"/>
  </r>
  <r>
    <s v="ORD-1297"/>
    <d v="2024-11-26T00:00:00"/>
    <x v="2"/>
    <x v="3"/>
    <x v="0"/>
    <n v="4"/>
    <n v="13455.33"/>
    <n v="683.3"/>
    <n v="5.0782849621674085E-2"/>
  </r>
  <r>
    <s v="ORD-1298"/>
    <d v="2024-01-09T00:00:00"/>
    <x v="4"/>
    <x v="2"/>
    <x v="0"/>
    <n v="2"/>
    <n v="1100.1300000000001"/>
    <n v="196.05"/>
    <n v="0.17820621199312808"/>
  </r>
  <r>
    <s v="ORD-1299"/>
    <d v="2024-09-16T00:00:00"/>
    <x v="1"/>
    <x v="3"/>
    <x v="2"/>
    <n v="6"/>
    <n v="5236.2299999999996"/>
    <n v="809.37"/>
    <n v="0.15457113228410518"/>
  </r>
  <r>
    <s v="ORD-1300"/>
    <d v="2024-09-17T00:00:00"/>
    <x v="1"/>
    <x v="2"/>
    <x v="1"/>
    <n v="1"/>
    <n v="5862.63"/>
    <n v="546.39"/>
    <n v="9.3198786210284462E-2"/>
  </r>
  <r>
    <s v="ORD-1301"/>
    <d v="2024-06-26T00:00:00"/>
    <x v="2"/>
    <x v="0"/>
    <x v="0"/>
    <n v="2"/>
    <n v="867.15"/>
    <n v="58.85"/>
    <n v="6.7865997808914266E-2"/>
  </r>
  <r>
    <s v="ORD-1302"/>
    <d v="2024-08-23T00:00:00"/>
    <x v="2"/>
    <x v="0"/>
    <x v="0"/>
    <n v="4"/>
    <n v="8921.94"/>
    <n v="1431.18"/>
    <n v="0.16041130068124196"/>
  </r>
  <r>
    <s v="ORD-1303"/>
    <d v="2024-07-10T00:00:00"/>
    <x v="4"/>
    <x v="0"/>
    <x v="2"/>
    <n v="10"/>
    <n v="13999.33"/>
    <n v="1640.52"/>
    <n v="0.11718560816839091"/>
  </r>
  <r>
    <s v="ORD-1304"/>
    <d v="2024-07-22T00:00:00"/>
    <x v="0"/>
    <x v="2"/>
    <x v="1"/>
    <n v="8"/>
    <n v="7574.96"/>
    <n v="1201.97"/>
    <n v="0.15867674548776495"/>
  </r>
  <r>
    <s v="ORD-1305"/>
    <d v="2024-11-08T00:00:00"/>
    <x v="4"/>
    <x v="2"/>
    <x v="2"/>
    <n v="4"/>
    <n v="11807.52"/>
    <n v="1103.0899999999999"/>
    <n v="9.3422666233044696E-2"/>
  </r>
  <r>
    <s v="ORD-1306"/>
    <d v="2024-06-28T00:00:00"/>
    <x v="2"/>
    <x v="2"/>
    <x v="0"/>
    <n v="2"/>
    <n v="14469.9"/>
    <n v="2224.9"/>
    <n v="0.15376056503500371"/>
  </r>
  <r>
    <s v="ORD-1307"/>
    <d v="2024-06-07T00:00:00"/>
    <x v="4"/>
    <x v="2"/>
    <x v="2"/>
    <n v="1"/>
    <n v="11644.06"/>
    <n v="2236.91"/>
    <n v="0.19210739209519703"/>
  </r>
  <r>
    <s v="ORD-1308"/>
    <d v="2024-02-01T00:00:00"/>
    <x v="3"/>
    <x v="3"/>
    <x v="0"/>
    <n v="8"/>
    <n v="17251.13"/>
    <n v="1946.44"/>
    <n v="0.11282971028564505"/>
  </r>
  <r>
    <s v="ORD-1309"/>
    <d v="2024-08-26T00:00:00"/>
    <x v="3"/>
    <x v="0"/>
    <x v="2"/>
    <n v="4"/>
    <n v="8084.75"/>
    <n v="1628.6"/>
    <n v="0.20144098456971457"/>
  </r>
  <r>
    <s v="ORD-1310"/>
    <d v="2024-12-12T00:00:00"/>
    <x v="2"/>
    <x v="0"/>
    <x v="0"/>
    <n v="7"/>
    <n v="8624.75"/>
    <n v="1356.92"/>
    <n v="0.15732861822081801"/>
  </r>
  <r>
    <s v="ORD-1311"/>
    <d v="2024-03-23T00:00:00"/>
    <x v="3"/>
    <x v="0"/>
    <x v="1"/>
    <n v="7"/>
    <n v="19514.79"/>
    <n v="4128.6400000000003"/>
    <n v="0.21156466454417394"/>
  </r>
  <r>
    <s v="ORD-1312"/>
    <d v="2024-10-14T00:00:00"/>
    <x v="0"/>
    <x v="0"/>
    <x v="0"/>
    <n v="6"/>
    <n v="11437.37"/>
    <n v="1427.71"/>
    <n v="0.12482852264113166"/>
  </r>
  <r>
    <s v="ORD-1313"/>
    <d v="2024-01-16T00:00:00"/>
    <x v="0"/>
    <x v="2"/>
    <x v="1"/>
    <n v="4"/>
    <n v="3821.27"/>
    <n v="324.22000000000003"/>
    <n v="8.4846137540660574E-2"/>
  </r>
  <r>
    <s v="ORD-1314"/>
    <d v="2024-12-07T00:00:00"/>
    <x v="3"/>
    <x v="1"/>
    <x v="0"/>
    <n v="1"/>
    <n v="13236.48"/>
    <n v="695.08"/>
    <n v="5.2512450439996139E-2"/>
  </r>
  <r>
    <s v="ORD-1315"/>
    <d v="2024-05-20T00:00:00"/>
    <x v="4"/>
    <x v="1"/>
    <x v="1"/>
    <n v="5"/>
    <n v="10690.55"/>
    <n v="1815.88"/>
    <n v="0.16985842636721218"/>
  </r>
  <r>
    <s v="ORD-1316"/>
    <d v="2024-04-14T00:00:00"/>
    <x v="4"/>
    <x v="1"/>
    <x v="0"/>
    <n v="8"/>
    <n v="2871.36"/>
    <n v="157.13999999999999"/>
    <n v="5.4726680040120351E-2"/>
  </r>
  <r>
    <s v="ORD-1317"/>
    <d v="2024-11-13T00:00:00"/>
    <x v="3"/>
    <x v="2"/>
    <x v="1"/>
    <n v="3"/>
    <n v="517.87"/>
    <n v="128.94"/>
    <n v="0.24898140459960993"/>
  </r>
  <r>
    <s v="ORD-1318"/>
    <d v="2024-10-25T00:00:00"/>
    <x v="2"/>
    <x v="1"/>
    <x v="0"/>
    <n v="8"/>
    <n v="8288.82"/>
    <n v="668.96"/>
    <n v="8.07063007762263E-2"/>
  </r>
  <r>
    <s v="ORD-1319"/>
    <d v="2024-09-16T00:00:00"/>
    <x v="1"/>
    <x v="1"/>
    <x v="0"/>
    <n v="10"/>
    <n v="8919.34"/>
    <n v="879.09"/>
    <n v="9.8559983137765803E-2"/>
  </r>
  <r>
    <s v="ORD-1320"/>
    <d v="2024-07-09T00:00:00"/>
    <x v="1"/>
    <x v="0"/>
    <x v="0"/>
    <n v="2"/>
    <n v="5524.73"/>
    <n v="533.82000000000005"/>
    <n v="9.6623726408349389E-2"/>
  </r>
  <r>
    <s v="ORD-1321"/>
    <d v="2024-11-24T00:00:00"/>
    <x v="3"/>
    <x v="1"/>
    <x v="2"/>
    <n v="5"/>
    <n v="9233.43"/>
    <n v="1017.25"/>
    <n v="0.11017032673665149"/>
  </r>
  <r>
    <s v="ORD-1322"/>
    <d v="2024-05-01T00:00:00"/>
    <x v="0"/>
    <x v="0"/>
    <x v="2"/>
    <n v="8"/>
    <n v="16890.95"/>
    <n v="1918.72"/>
    <n v="0.11359455803255589"/>
  </r>
  <r>
    <s v="ORD-1323"/>
    <d v="2024-10-25T00:00:00"/>
    <x v="1"/>
    <x v="1"/>
    <x v="1"/>
    <n v="3"/>
    <n v="14316.89"/>
    <n v="1831.06"/>
    <n v="0.12789509453519585"/>
  </r>
  <r>
    <s v="ORD-1324"/>
    <d v="2024-03-05T00:00:00"/>
    <x v="3"/>
    <x v="0"/>
    <x v="0"/>
    <n v="10"/>
    <n v="4705.67"/>
    <n v="1095.1600000000001"/>
    <n v="0.23273200203159169"/>
  </r>
  <r>
    <s v="ORD-1325"/>
    <d v="2024-05-10T00:00:00"/>
    <x v="2"/>
    <x v="3"/>
    <x v="0"/>
    <n v="1"/>
    <n v="12671.5"/>
    <n v="3163.66"/>
    <n v="0.2496673637690881"/>
  </r>
  <r>
    <s v="ORD-1326"/>
    <d v="2024-07-01T00:00:00"/>
    <x v="0"/>
    <x v="2"/>
    <x v="1"/>
    <n v="1"/>
    <n v="16174.62"/>
    <n v="1429.57"/>
    <n v="8.8383529257565235E-2"/>
  </r>
  <r>
    <s v="ORD-1327"/>
    <d v="2024-11-03T00:00:00"/>
    <x v="2"/>
    <x v="3"/>
    <x v="2"/>
    <n v="2"/>
    <n v="13428.99"/>
    <n v="2233.2800000000002"/>
    <n v="0.16630290140956247"/>
  </r>
  <r>
    <s v="ORD-1328"/>
    <d v="2024-08-21T00:00:00"/>
    <x v="1"/>
    <x v="3"/>
    <x v="0"/>
    <n v="10"/>
    <n v="13922.19"/>
    <n v="1446.73"/>
    <n v="0.10391540411386427"/>
  </r>
  <r>
    <s v="ORD-1329"/>
    <d v="2024-06-27T00:00:00"/>
    <x v="1"/>
    <x v="1"/>
    <x v="1"/>
    <n v="8"/>
    <n v="2775.65"/>
    <n v="239.62"/>
    <n v="8.6329328265451338E-2"/>
  </r>
  <r>
    <s v="ORD-1330"/>
    <d v="2024-04-04T00:00:00"/>
    <x v="2"/>
    <x v="0"/>
    <x v="1"/>
    <n v="1"/>
    <n v="12839.39"/>
    <n v="3157.03"/>
    <n v="0.24588629210577764"/>
  </r>
  <r>
    <s v="ORD-1331"/>
    <d v="2024-03-02T00:00:00"/>
    <x v="3"/>
    <x v="0"/>
    <x v="2"/>
    <n v="6"/>
    <n v="17804.16"/>
    <n v="3270.95"/>
    <n v="0.18371829954347746"/>
  </r>
  <r>
    <s v="ORD-1332"/>
    <d v="2024-09-16T00:00:00"/>
    <x v="2"/>
    <x v="1"/>
    <x v="2"/>
    <n v="7"/>
    <n v="5884.51"/>
    <n v="729.37"/>
    <n v="0.12394744847064582"/>
  </r>
  <r>
    <s v="ORD-1333"/>
    <d v="2024-09-26T00:00:00"/>
    <x v="2"/>
    <x v="2"/>
    <x v="1"/>
    <n v="5"/>
    <n v="18571.689999999999"/>
    <n v="3237.35"/>
    <n v="0.1743163923154005"/>
  </r>
  <r>
    <s v="ORD-1334"/>
    <d v="2024-04-08T00:00:00"/>
    <x v="3"/>
    <x v="2"/>
    <x v="1"/>
    <n v="9"/>
    <n v="14443.04"/>
    <n v="1995.79"/>
    <n v="0.13818351261230322"/>
  </r>
  <r>
    <s v="ORD-1335"/>
    <d v="2024-04-01T00:00:00"/>
    <x v="3"/>
    <x v="1"/>
    <x v="0"/>
    <n v="8"/>
    <n v="13831.42"/>
    <n v="2996.32"/>
    <n v="0.2166314087779852"/>
  </r>
  <r>
    <s v="ORD-1336"/>
    <d v="2024-04-12T00:00:00"/>
    <x v="2"/>
    <x v="0"/>
    <x v="2"/>
    <n v="5"/>
    <n v="15103.33"/>
    <n v="3744.81"/>
    <n v="0.2479459827733354"/>
  </r>
  <r>
    <s v="ORD-1337"/>
    <d v="2024-01-16T00:00:00"/>
    <x v="3"/>
    <x v="2"/>
    <x v="1"/>
    <n v="10"/>
    <n v="14208.12"/>
    <n v="1408.96"/>
    <n v="9.9165829117434254E-2"/>
  </r>
  <r>
    <s v="ORD-1338"/>
    <d v="2024-10-18T00:00:00"/>
    <x v="1"/>
    <x v="2"/>
    <x v="0"/>
    <n v="2"/>
    <n v="11004.48"/>
    <n v="1533.58"/>
    <n v="0.13935960626944663"/>
  </r>
  <r>
    <s v="ORD-1339"/>
    <d v="2024-09-26T00:00:00"/>
    <x v="0"/>
    <x v="3"/>
    <x v="1"/>
    <n v="8"/>
    <n v="8063.85"/>
    <n v="1238.99"/>
    <n v="0.15364745127947568"/>
  </r>
  <r>
    <s v="ORD-1340"/>
    <d v="2024-04-26T00:00:00"/>
    <x v="4"/>
    <x v="0"/>
    <x v="0"/>
    <n v="9"/>
    <n v="10780.64"/>
    <n v="1268.76"/>
    <n v="0.11768874575164369"/>
  </r>
  <r>
    <s v="ORD-1341"/>
    <d v="2024-02-10T00:00:00"/>
    <x v="0"/>
    <x v="1"/>
    <x v="0"/>
    <n v="7"/>
    <n v="17891.88"/>
    <n v="1491.78"/>
    <n v="8.3377487441230316E-2"/>
  </r>
  <r>
    <s v="ORD-1342"/>
    <d v="2024-02-25T00:00:00"/>
    <x v="0"/>
    <x v="2"/>
    <x v="0"/>
    <n v="7"/>
    <n v="18650.16"/>
    <n v="2492.9899999999998"/>
    <n v="0.13367123928159327"/>
  </r>
  <r>
    <s v="ORD-1343"/>
    <d v="2024-07-06T00:00:00"/>
    <x v="4"/>
    <x v="3"/>
    <x v="1"/>
    <n v="7"/>
    <n v="14032.11"/>
    <n v="2405.1"/>
    <n v="0.1713997395972523"/>
  </r>
  <r>
    <s v="ORD-1344"/>
    <d v="2024-02-22T00:00:00"/>
    <x v="0"/>
    <x v="1"/>
    <x v="1"/>
    <n v="8"/>
    <n v="10276.879999999999"/>
    <n v="1161.78"/>
    <n v="0.11304792894341474"/>
  </r>
  <r>
    <s v="ORD-1345"/>
    <d v="2024-09-08T00:00:00"/>
    <x v="1"/>
    <x v="3"/>
    <x v="2"/>
    <n v="4"/>
    <n v="17342.29"/>
    <n v="2664.8"/>
    <n v="0.15365906117358205"/>
  </r>
  <r>
    <s v="ORD-1346"/>
    <d v="2024-05-05T00:00:00"/>
    <x v="4"/>
    <x v="3"/>
    <x v="2"/>
    <n v="9"/>
    <n v="11631.84"/>
    <n v="656.64"/>
    <n v="5.6451945693888499E-2"/>
  </r>
  <r>
    <s v="ORD-1347"/>
    <d v="2024-11-17T00:00:00"/>
    <x v="4"/>
    <x v="2"/>
    <x v="1"/>
    <n v="9"/>
    <n v="19457.71"/>
    <n v="1554.89"/>
    <n v="7.9911253688126724E-2"/>
  </r>
  <r>
    <s v="ORD-1348"/>
    <d v="2024-11-06T00:00:00"/>
    <x v="4"/>
    <x v="1"/>
    <x v="1"/>
    <n v="10"/>
    <n v="11086.46"/>
    <n v="2346.5500000000002"/>
    <n v="0.21165908685008564"/>
  </r>
  <r>
    <s v="ORD-1349"/>
    <d v="2024-10-18T00:00:00"/>
    <x v="2"/>
    <x v="2"/>
    <x v="0"/>
    <n v="6"/>
    <n v="13527.56"/>
    <n v="3097.62"/>
    <n v="0.22898586293463122"/>
  </r>
  <r>
    <s v="ORD-1350"/>
    <d v="2024-02-14T00:00:00"/>
    <x v="0"/>
    <x v="3"/>
    <x v="1"/>
    <n v="6"/>
    <n v="12707.35"/>
    <n v="1986.04"/>
    <n v="0.15629065068641376"/>
  </r>
  <r>
    <s v="ORD-1351"/>
    <d v="2024-07-19T00:00:00"/>
    <x v="2"/>
    <x v="2"/>
    <x v="2"/>
    <n v="1"/>
    <n v="16889.689999999999"/>
    <n v="1553.45"/>
    <n v="9.1976229285439831E-2"/>
  </r>
  <r>
    <s v="ORD-1352"/>
    <d v="2024-11-17T00:00:00"/>
    <x v="4"/>
    <x v="3"/>
    <x v="0"/>
    <n v="5"/>
    <n v="10942.52"/>
    <n v="2218.6"/>
    <n v="0.20275037194357423"/>
  </r>
  <r>
    <s v="ORD-1353"/>
    <d v="2024-01-17T00:00:00"/>
    <x v="3"/>
    <x v="1"/>
    <x v="1"/>
    <n v="3"/>
    <n v="11380.7"/>
    <n v="2543.6799999999998"/>
    <n v="0.22350822005676274"/>
  </r>
  <r>
    <s v="ORD-1354"/>
    <d v="2024-09-20T00:00:00"/>
    <x v="3"/>
    <x v="1"/>
    <x v="2"/>
    <n v="1"/>
    <n v="4716.38"/>
    <n v="926.29"/>
    <n v="0.19639850902599026"/>
  </r>
  <r>
    <s v="ORD-1355"/>
    <d v="2024-10-26T00:00:00"/>
    <x v="1"/>
    <x v="2"/>
    <x v="2"/>
    <n v="3"/>
    <n v="6744.45"/>
    <n v="663.15"/>
    <n v="9.8325289682627937E-2"/>
  </r>
  <r>
    <s v="ORD-1356"/>
    <d v="2024-02-26T00:00:00"/>
    <x v="2"/>
    <x v="2"/>
    <x v="0"/>
    <n v="6"/>
    <n v="14776.37"/>
    <n v="2423.19"/>
    <n v="0.16399088544750842"/>
  </r>
  <r>
    <s v="ORD-1357"/>
    <d v="2024-07-27T00:00:00"/>
    <x v="2"/>
    <x v="2"/>
    <x v="1"/>
    <n v="1"/>
    <n v="19569.02"/>
    <n v="4232.05"/>
    <n v="0.21626274591165015"/>
  </r>
  <r>
    <s v="ORD-1358"/>
    <d v="2024-09-21T00:00:00"/>
    <x v="3"/>
    <x v="2"/>
    <x v="0"/>
    <n v="6"/>
    <n v="17031.18"/>
    <n v="4010.37"/>
    <n v="0.23547223386753002"/>
  </r>
  <r>
    <s v="ORD-1359"/>
    <d v="2024-01-23T00:00:00"/>
    <x v="4"/>
    <x v="1"/>
    <x v="2"/>
    <n v="7"/>
    <n v="12342.5"/>
    <n v="2528.54"/>
    <n v="0.20486449260684625"/>
  </r>
  <r>
    <s v="ORD-1360"/>
    <d v="2024-01-05T00:00:00"/>
    <x v="4"/>
    <x v="2"/>
    <x v="1"/>
    <n v="8"/>
    <n v="15336.06"/>
    <n v="1257.26"/>
    <n v="8.198063909504788E-2"/>
  </r>
  <r>
    <s v="ORD-1361"/>
    <d v="2024-10-06T00:00:00"/>
    <x v="2"/>
    <x v="1"/>
    <x v="2"/>
    <n v="8"/>
    <n v="8085.25"/>
    <n v="1752.2"/>
    <n v="0.21671562413036086"/>
  </r>
  <r>
    <s v="ORD-1362"/>
    <d v="2024-09-06T00:00:00"/>
    <x v="2"/>
    <x v="0"/>
    <x v="1"/>
    <n v="5"/>
    <n v="14141.92"/>
    <n v="3044.39"/>
    <n v="0.21527416362134702"/>
  </r>
  <r>
    <s v="ORD-1363"/>
    <d v="2024-05-27T00:00:00"/>
    <x v="3"/>
    <x v="1"/>
    <x v="1"/>
    <n v="10"/>
    <n v="535.79"/>
    <n v="30.17"/>
    <n v="5.6309374941674914E-2"/>
  </r>
  <r>
    <s v="ORD-1364"/>
    <d v="2024-01-26T00:00:00"/>
    <x v="1"/>
    <x v="2"/>
    <x v="1"/>
    <n v="7"/>
    <n v="15969.3"/>
    <n v="1874.25"/>
    <n v="0.11736582066840751"/>
  </r>
  <r>
    <s v="ORD-1365"/>
    <d v="2024-08-28T00:00:00"/>
    <x v="4"/>
    <x v="3"/>
    <x v="0"/>
    <n v="7"/>
    <n v="8015.5"/>
    <n v="1100.3499999999999"/>
    <n v="0.13727777431226998"/>
  </r>
  <r>
    <s v="ORD-1366"/>
    <d v="2024-06-07T00:00:00"/>
    <x v="1"/>
    <x v="0"/>
    <x v="2"/>
    <n v="3"/>
    <n v="12371.43"/>
    <n v="2110.06"/>
    <n v="0.17055910270680105"/>
  </r>
  <r>
    <s v="ORD-1367"/>
    <d v="2024-11-01T00:00:00"/>
    <x v="3"/>
    <x v="3"/>
    <x v="1"/>
    <n v="4"/>
    <n v="6423"/>
    <n v="350.34"/>
    <n v="5.4544605324614664E-2"/>
  </r>
  <r>
    <s v="ORD-1368"/>
    <d v="2024-03-12T00:00:00"/>
    <x v="2"/>
    <x v="2"/>
    <x v="0"/>
    <n v="8"/>
    <n v="16335.73"/>
    <n v="2257.5300000000002"/>
    <n v="0.13819584432406756"/>
  </r>
  <r>
    <s v="ORD-1369"/>
    <d v="2024-04-20T00:00:00"/>
    <x v="1"/>
    <x v="1"/>
    <x v="2"/>
    <n v="5"/>
    <n v="2694.66"/>
    <n v="284.60000000000002"/>
    <n v="0.10561629296460408"/>
  </r>
  <r>
    <s v="ORD-1370"/>
    <d v="2024-11-11T00:00:00"/>
    <x v="3"/>
    <x v="0"/>
    <x v="1"/>
    <n v="5"/>
    <n v="7194.12"/>
    <n v="1018.08"/>
    <n v="0.14151557104969059"/>
  </r>
  <r>
    <s v="ORD-1371"/>
    <d v="2024-04-20T00:00:00"/>
    <x v="3"/>
    <x v="3"/>
    <x v="2"/>
    <n v="6"/>
    <n v="11338.29"/>
    <n v="1262.6099999999999"/>
    <n v="0.11135806192997355"/>
  </r>
  <r>
    <s v="ORD-1372"/>
    <d v="2024-08-25T00:00:00"/>
    <x v="3"/>
    <x v="2"/>
    <x v="0"/>
    <n v="2"/>
    <n v="9237.9699999999993"/>
    <n v="2149.3200000000002"/>
    <n v="0.23266150463792373"/>
  </r>
  <r>
    <s v="ORD-1373"/>
    <d v="2024-09-13T00:00:00"/>
    <x v="1"/>
    <x v="1"/>
    <x v="0"/>
    <n v="8"/>
    <n v="4526.46"/>
    <n v="739.99"/>
    <n v="0.16348095421145883"/>
  </r>
  <r>
    <s v="ORD-1374"/>
    <d v="2024-01-28T00:00:00"/>
    <x v="2"/>
    <x v="2"/>
    <x v="0"/>
    <n v="10"/>
    <n v="7534.66"/>
    <n v="691.57"/>
    <n v="9.1785163497755715E-2"/>
  </r>
  <r>
    <s v="ORD-1375"/>
    <d v="2024-05-26T00:00:00"/>
    <x v="0"/>
    <x v="0"/>
    <x v="2"/>
    <n v="8"/>
    <n v="15992.37"/>
    <n v="2126.6"/>
    <n v="0.13297591288845867"/>
  </r>
  <r>
    <s v="ORD-1376"/>
    <d v="2024-08-19T00:00:00"/>
    <x v="3"/>
    <x v="0"/>
    <x v="2"/>
    <n v="6"/>
    <n v="8767.2800000000007"/>
    <n v="1351.88"/>
    <n v="0.15419605624549462"/>
  </r>
  <r>
    <s v="ORD-1377"/>
    <d v="2024-02-27T00:00:00"/>
    <x v="4"/>
    <x v="0"/>
    <x v="1"/>
    <n v="6"/>
    <n v="6704.18"/>
    <n v="984.59"/>
    <n v="0.14686210692433677"/>
  </r>
  <r>
    <s v="ORD-1378"/>
    <d v="2024-08-05T00:00:00"/>
    <x v="4"/>
    <x v="1"/>
    <x v="2"/>
    <n v="3"/>
    <n v="3915.87"/>
    <n v="859.08"/>
    <n v="0.21938419814753812"/>
  </r>
  <r>
    <s v="ORD-1379"/>
    <d v="2024-01-23T00:00:00"/>
    <x v="3"/>
    <x v="2"/>
    <x v="1"/>
    <n v="9"/>
    <n v="13345.66"/>
    <n v="1265.52"/>
    <n v="9.482633305509057E-2"/>
  </r>
  <r>
    <s v="ORD-1380"/>
    <d v="2024-03-26T00:00:00"/>
    <x v="4"/>
    <x v="1"/>
    <x v="0"/>
    <n v="3"/>
    <n v="1875.67"/>
    <n v="131.62"/>
    <n v="7.0172258446315181E-2"/>
  </r>
  <r>
    <s v="ORD-1381"/>
    <d v="2024-05-20T00:00:00"/>
    <x v="2"/>
    <x v="0"/>
    <x v="0"/>
    <n v="7"/>
    <n v="2529.17"/>
    <n v="317.89999999999998"/>
    <n v="0.12569340930028428"/>
  </r>
  <r>
    <s v="ORD-1382"/>
    <d v="2024-04-25T00:00:00"/>
    <x v="2"/>
    <x v="2"/>
    <x v="1"/>
    <n v="4"/>
    <n v="5900.95"/>
    <n v="398.24"/>
    <n v="6.7487438463298285E-2"/>
  </r>
  <r>
    <s v="ORD-1383"/>
    <d v="2024-04-05T00:00:00"/>
    <x v="4"/>
    <x v="2"/>
    <x v="1"/>
    <n v="7"/>
    <n v="15868.86"/>
    <n v="2964.99"/>
    <n v="0.18684328931000713"/>
  </r>
  <r>
    <s v="ORD-1384"/>
    <d v="2024-01-07T00:00:00"/>
    <x v="3"/>
    <x v="0"/>
    <x v="1"/>
    <n v="7"/>
    <n v="4651.41"/>
    <n v="522.41"/>
    <n v="0.1123121806076007"/>
  </r>
  <r>
    <s v="ORD-1385"/>
    <d v="2024-08-09T00:00:00"/>
    <x v="3"/>
    <x v="3"/>
    <x v="2"/>
    <n v="3"/>
    <n v="18122.919999999998"/>
    <n v="906.22"/>
    <n v="5.0004083227206217E-2"/>
  </r>
  <r>
    <s v="ORD-1386"/>
    <d v="2024-04-07T00:00:00"/>
    <x v="0"/>
    <x v="0"/>
    <x v="0"/>
    <n v="4"/>
    <n v="5039.47"/>
    <n v="492.65"/>
    <n v="9.7758296011286896E-2"/>
  </r>
  <r>
    <s v="ORD-1387"/>
    <d v="2024-07-20T00:00:00"/>
    <x v="1"/>
    <x v="0"/>
    <x v="1"/>
    <n v="7"/>
    <n v="3395.72"/>
    <n v="781.42"/>
    <n v="0.23011909109113826"/>
  </r>
  <r>
    <s v="ORD-1388"/>
    <d v="2024-01-02T00:00:00"/>
    <x v="3"/>
    <x v="0"/>
    <x v="1"/>
    <n v="10"/>
    <n v="10262.69"/>
    <n v="1410.17"/>
    <n v="0.13740744385731227"/>
  </r>
  <r>
    <s v="ORD-1389"/>
    <d v="2024-01-22T00:00:00"/>
    <x v="1"/>
    <x v="2"/>
    <x v="0"/>
    <n v="8"/>
    <n v="1377.64"/>
    <n v="182.03"/>
    <n v="0.1321317615632531"/>
  </r>
  <r>
    <s v="ORD-1390"/>
    <d v="2024-11-28T00:00:00"/>
    <x v="2"/>
    <x v="1"/>
    <x v="2"/>
    <n v="9"/>
    <n v="19017.43"/>
    <n v="1891.89"/>
    <n v="9.9481896344563905E-2"/>
  </r>
  <r>
    <s v="ORD-1391"/>
    <d v="2024-12-19T00:00:00"/>
    <x v="1"/>
    <x v="3"/>
    <x v="1"/>
    <n v="5"/>
    <n v="13036.97"/>
    <n v="2089.19"/>
    <n v="0.16025119333710211"/>
  </r>
  <r>
    <s v="ORD-1392"/>
    <d v="2024-03-09T00:00:00"/>
    <x v="1"/>
    <x v="3"/>
    <x v="1"/>
    <n v="4"/>
    <n v="10237.049999999999"/>
    <n v="1600.45"/>
    <n v="0.1563389843753816"/>
  </r>
  <r>
    <s v="ORD-1393"/>
    <d v="2024-07-10T00:00:00"/>
    <x v="4"/>
    <x v="0"/>
    <x v="1"/>
    <n v="4"/>
    <n v="10246.42"/>
    <n v="852.39"/>
    <n v="8.3189055299314293E-2"/>
  </r>
  <r>
    <s v="ORD-1394"/>
    <d v="2024-07-17T00:00:00"/>
    <x v="3"/>
    <x v="1"/>
    <x v="1"/>
    <n v="2"/>
    <n v="7489.56"/>
    <n v="1669.96"/>
    <n v="0.22297170995358873"/>
  </r>
  <r>
    <s v="ORD-1395"/>
    <d v="2024-04-18T00:00:00"/>
    <x v="0"/>
    <x v="0"/>
    <x v="1"/>
    <n v="8"/>
    <n v="13865.42"/>
    <n v="1484.63"/>
    <n v="0.10707428985202036"/>
  </r>
  <r>
    <s v="ORD-1396"/>
    <d v="2024-03-25T00:00:00"/>
    <x v="0"/>
    <x v="1"/>
    <x v="1"/>
    <n v="1"/>
    <n v="12037.43"/>
    <n v="759.29"/>
    <n v="6.3077417687994852E-2"/>
  </r>
  <r>
    <s v="ORD-1397"/>
    <d v="2024-10-06T00:00:00"/>
    <x v="1"/>
    <x v="2"/>
    <x v="1"/>
    <n v="2"/>
    <n v="18912.57"/>
    <n v="2178.9499999999998"/>
    <n v="0.11521173484090211"/>
  </r>
  <r>
    <s v="ORD-1398"/>
    <d v="2024-09-14T00:00:00"/>
    <x v="1"/>
    <x v="1"/>
    <x v="1"/>
    <n v="5"/>
    <n v="9045.02"/>
    <n v="2082.0700000000002"/>
    <n v="0.23018965132194291"/>
  </r>
  <r>
    <s v="ORD-1399"/>
    <d v="2024-11-14T00:00:00"/>
    <x v="3"/>
    <x v="1"/>
    <x v="2"/>
    <n v="1"/>
    <n v="13057.49"/>
    <n v="2468.73"/>
    <n v="0.18906619878705633"/>
  </r>
  <r>
    <s v="ORD-1400"/>
    <d v="2024-02-06T00:00:00"/>
    <x v="1"/>
    <x v="2"/>
    <x v="0"/>
    <n v="10"/>
    <n v="7186.19"/>
    <n v="499.72"/>
    <n v="6.9538935096344526E-2"/>
  </r>
  <r>
    <s v="ORD-1401"/>
    <d v="2024-12-09T00:00:00"/>
    <x v="1"/>
    <x v="1"/>
    <x v="1"/>
    <n v="7"/>
    <n v="2433.3000000000002"/>
    <n v="156.16"/>
    <n v="6.4176221592076602E-2"/>
  </r>
  <r>
    <s v="ORD-1402"/>
    <d v="2024-11-06T00:00:00"/>
    <x v="0"/>
    <x v="0"/>
    <x v="0"/>
    <n v="4"/>
    <n v="10504.73"/>
    <n v="824.73"/>
    <n v="7.8510347243575043E-2"/>
  </r>
  <r>
    <s v="ORD-1403"/>
    <d v="2024-06-02T00:00:00"/>
    <x v="2"/>
    <x v="2"/>
    <x v="1"/>
    <n v="2"/>
    <n v="10418.540000000001"/>
    <n v="775.08"/>
    <n v="7.4394300928920937E-2"/>
  </r>
  <r>
    <s v="ORD-1404"/>
    <d v="2024-05-15T00:00:00"/>
    <x v="0"/>
    <x v="1"/>
    <x v="2"/>
    <n v="4"/>
    <n v="15470.25"/>
    <n v="1010.54"/>
    <n v="6.5321504177372702E-2"/>
  </r>
  <r>
    <s v="ORD-1405"/>
    <d v="2024-12-14T00:00:00"/>
    <x v="4"/>
    <x v="1"/>
    <x v="0"/>
    <n v="7"/>
    <n v="7877.36"/>
    <n v="1640.54"/>
    <n v="0.20826012775853839"/>
  </r>
  <r>
    <s v="ORD-1406"/>
    <d v="2024-06-23T00:00:00"/>
    <x v="0"/>
    <x v="1"/>
    <x v="1"/>
    <n v="7"/>
    <n v="4453.5200000000004"/>
    <n v="843.81"/>
    <n v="0.18947035154215089"/>
  </r>
  <r>
    <s v="ORD-1407"/>
    <d v="2024-10-10T00:00:00"/>
    <x v="3"/>
    <x v="1"/>
    <x v="0"/>
    <n v="4"/>
    <n v="3528.22"/>
    <n v="873.24"/>
    <n v="0.24750157303116022"/>
  </r>
  <r>
    <s v="ORD-1408"/>
    <d v="2024-09-20T00:00:00"/>
    <x v="0"/>
    <x v="2"/>
    <x v="0"/>
    <n v="2"/>
    <n v="19780.330000000002"/>
    <n v="1883"/>
    <n v="9.5195580660181092E-2"/>
  </r>
  <r>
    <s v="ORD-1409"/>
    <d v="2024-02-21T00:00:00"/>
    <x v="1"/>
    <x v="0"/>
    <x v="1"/>
    <n v="8"/>
    <n v="12247.32"/>
    <n v="2331.44"/>
    <n v="0.19036327947665285"/>
  </r>
  <r>
    <s v="ORD-1410"/>
    <d v="2024-02-06T00:00:00"/>
    <x v="3"/>
    <x v="3"/>
    <x v="1"/>
    <n v="6"/>
    <n v="3501.63"/>
    <n v="547.22"/>
    <n v="0.15627579155993065"/>
  </r>
  <r>
    <s v="ORD-1411"/>
    <d v="2024-04-18T00:00:00"/>
    <x v="3"/>
    <x v="1"/>
    <x v="1"/>
    <n v="5"/>
    <n v="17642.05"/>
    <n v="2237.48"/>
    <n v="0.12682653093036242"/>
  </r>
  <r>
    <s v="ORD-1412"/>
    <d v="2024-11-12T00:00:00"/>
    <x v="2"/>
    <x v="2"/>
    <x v="2"/>
    <n v="5"/>
    <n v="15795.43"/>
    <n v="3531.52"/>
    <n v="0.22357859203579769"/>
  </r>
  <r>
    <s v="ORD-1413"/>
    <d v="2024-01-12T00:00:00"/>
    <x v="4"/>
    <x v="2"/>
    <x v="0"/>
    <n v="8"/>
    <n v="5213.67"/>
    <n v="978.38"/>
    <n v="0.18765667945995815"/>
  </r>
  <r>
    <s v="ORD-1414"/>
    <d v="2024-04-04T00:00:00"/>
    <x v="3"/>
    <x v="0"/>
    <x v="1"/>
    <n v="6"/>
    <n v="7007.61"/>
    <n v="1312.02"/>
    <n v="0.18722788511346949"/>
  </r>
  <r>
    <s v="ORD-1415"/>
    <d v="2024-12-23T00:00:00"/>
    <x v="4"/>
    <x v="1"/>
    <x v="0"/>
    <n v="8"/>
    <n v="3178.55"/>
    <n v="454.21"/>
    <n v="0.14289849145050415"/>
  </r>
  <r>
    <s v="ORD-1416"/>
    <d v="2024-09-09T00:00:00"/>
    <x v="0"/>
    <x v="0"/>
    <x v="2"/>
    <n v="8"/>
    <n v="11582.9"/>
    <n v="1989.26"/>
    <n v="0.17174110110594065"/>
  </r>
  <r>
    <s v="ORD-1417"/>
    <d v="2024-02-02T00:00:00"/>
    <x v="0"/>
    <x v="1"/>
    <x v="0"/>
    <n v="4"/>
    <n v="14453.92"/>
    <n v="3149.13"/>
    <n v="0.21787376711646392"/>
  </r>
  <r>
    <s v="ORD-1418"/>
    <d v="2024-08-06T00:00:00"/>
    <x v="3"/>
    <x v="0"/>
    <x v="2"/>
    <n v="3"/>
    <n v="8799.01"/>
    <n v="1957.14"/>
    <n v="0.22242729579805001"/>
  </r>
  <r>
    <s v="ORD-1419"/>
    <d v="2024-12-02T00:00:00"/>
    <x v="2"/>
    <x v="3"/>
    <x v="0"/>
    <n v="9"/>
    <n v="7031.07"/>
    <n v="628.41"/>
    <n v="8.9376154696226895E-2"/>
  </r>
  <r>
    <s v="ORD-1420"/>
    <d v="2024-11-07T00:00:00"/>
    <x v="0"/>
    <x v="1"/>
    <x v="0"/>
    <n v="10"/>
    <n v="19981.650000000001"/>
    <n v="4510.75"/>
    <n v="0.22574462068948259"/>
  </r>
  <r>
    <s v="ORD-1421"/>
    <d v="2024-10-27T00:00:00"/>
    <x v="3"/>
    <x v="3"/>
    <x v="1"/>
    <n v="6"/>
    <n v="18740.09"/>
    <n v="1346.89"/>
    <n v="7.1872120144567078E-2"/>
  </r>
  <r>
    <s v="ORD-1422"/>
    <d v="2024-02-07T00:00:00"/>
    <x v="2"/>
    <x v="2"/>
    <x v="0"/>
    <n v="7"/>
    <n v="17164.05"/>
    <n v="943.64"/>
    <n v="5.4977700484442775E-2"/>
  </r>
  <r>
    <s v="ORD-1423"/>
    <d v="2024-03-11T00:00:00"/>
    <x v="3"/>
    <x v="1"/>
    <x v="2"/>
    <n v="3"/>
    <n v="12421.3"/>
    <n v="798.35"/>
    <n v="6.4272660671588322E-2"/>
  </r>
  <r>
    <s v="ORD-1424"/>
    <d v="2024-11-09T00:00:00"/>
    <x v="4"/>
    <x v="3"/>
    <x v="1"/>
    <n v="4"/>
    <n v="1743.74"/>
    <n v="118.2"/>
    <n v="6.7785334969662908E-2"/>
  </r>
  <r>
    <s v="ORD-1425"/>
    <d v="2024-07-14T00:00:00"/>
    <x v="0"/>
    <x v="3"/>
    <x v="1"/>
    <n v="7"/>
    <n v="9625.2199999999993"/>
    <n v="797.35"/>
    <n v="8.2839664963502146E-2"/>
  </r>
  <r>
    <s v="ORD-1426"/>
    <d v="2024-03-20T00:00:00"/>
    <x v="4"/>
    <x v="0"/>
    <x v="2"/>
    <n v="8"/>
    <n v="19967.759999999998"/>
    <n v="4890.17"/>
    <n v="0.24490328409395948"/>
  </r>
  <r>
    <s v="ORD-1427"/>
    <d v="2024-03-18T00:00:00"/>
    <x v="0"/>
    <x v="2"/>
    <x v="0"/>
    <n v="3"/>
    <n v="6213.47"/>
    <n v="1464.26"/>
    <n v="0.23565897960398938"/>
  </r>
  <r>
    <s v="ORD-1428"/>
    <d v="2024-12-05T00:00:00"/>
    <x v="1"/>
    <x v="2"/>
    <x v="1"/>
    <n v="7"/>
    <n v="17949.37"/>
    <n v="1607.91"/>
    <n v="8.9580302818427618E-2"/>
  </r>
  <r>
    <s v="ORD-1429"/>
    <d v="2024-01-26T00:00:00"/>
    <x v="4"/>
    <x v="3"/>
    <x v="0"/>
    <n v="7"/>
    <n v="5482.03"/>
    <n v="873.4"/>
    <n v="0.15932054366721818"/>
  </r>
  <r>
    <s v="ORD-1430"/>
    <d v="2024-10-07T00:00:00"/>
    <x v="0"/>
    <x v="2"/>
    <x v="1"/>
    <n v="2"/>
    <n v="18983.29"/>
    <n v="2653.87"/>
    <n v="0.13980031912276533"/>
  </r>
  <r>
    <s v="ORD-1431"/>
    <d v="2024-02-01T00:00:00"/>
    <x v="4"/>
    <x v="3"/>
    <x v="1"/>
    <n v="9"/>
    <n v="1781.94"/>
    <n v="393.69"/>
    <n v="0.22093336475975622"/>
  </r>
  <r>
    <s v="ORD-1432"/>
    <d v="2024-04-22T00:00:00"/>
    <x v="0"/>
    <x v="2"/>
    <x v="0"/>
    <n v="7"/>
    <n v="11649.16"/>
    <n v="2700.93"/>
    <n v="0.23185620250730524"/>
  </r>
  <r>
    <s v="ORD-1433"/>
    <d v="2024-12-21T00:00:00"/>
    <x v="3"/>
    <x v="2"/>
    <x v="1"/>
    <n v="1"/>
    <n v="14538.94"/>
    <n v="2405.54"/>
    <n v="0.16545497814833818"/>
  </r>
  <r>
    <s v="ORD-1434"/>
    <d v="2024-11-01T00:00:00"/>
    <x v="1"/>
    <x v="0"/>
    <x v="0"/>
    <n v="8"/>
    <n v="10626.83"/>
    <n v="1910.17"/>
    <n v="0.17974974663187424"/>
  </r>
  <r>
    <s v="ORD-1435"/>
    <d v="2024-08-04T00:00:00"/>
    <x v="0"/>
    <x v="3"/>
    <x v="1"/>
    <n v="9"/>
    <n v="14926.59"/>
    <n v="1119.4100000000001"/>
    <n v="7.4994355710178956E-2"/>
  </r>
  <r>
    <s v="ORD-1436"/>
    <d v="2024-11-24T00:00:00"/>
    <x v="0"/>
    <x v="3"/>
    <x v="0"/>
    <n v="5"/>
    <n v="19375"/>
    <n v="3532.2"/>
    <n v="0.18230709677419354"/>
  </r>
  <r>
    <s v="ORD-1437"/>
    <d v="2024-07-01T00:00:00"/>
    <x v="3"/>
    <x v="0"/>
    <x v="1"/>
    <n v="4"/>
    <n v="2599.13"/>
    <n v="201.66"/>
    <n v="7.7587500432837131E-2"/>
  </r>
  <r>
    <s v="ORD-1438"/>
    <d v="2024-06-13T00:00:00"/>
    <x v="2"/>
    <x v="0"/>
    <x v="0"/>
    <n v="5"/>
    <n v="2053.61"/>
    <n v="453.87"/>
    <n v="0.2210108053622645"/>
  </r>
  <r>
    <s v="ORD-1439"/>
    <d v="2024-01-12T00:00:00"/>
    <x v="0"/>
    <x v="2"/>
    <x v="0"/>
    <n v="9"/>
    <n v="8411.4599999999991"/>
    <n v="1368.2"/>
    <n v="0.16265903897777559"/>
  </r>
  <r>
    <s v="ORD-1440"/>
    <d v="2024-04-19T00:00:00"/>
    <x v="0"/>
    <x v="0"/>
    <x v="2"/>
    <n v="10"/>
    <n v="16608.25"/>
    <n v="3142.42"/>
    <n v="0.18920837535562146"/>
  </r>
  <r>
    <s v="ORD-1441"/>
    <d v="2024-11-03T00:00:00"/>
    <x v="1"/>
    <x v="1"/>
    <x v="0"/>
    <n v="5"/>
    <n v="10809.51"/>
    <n v="2430.16"/>
    <n v="0.2248168510876071"/>
  </r>
  <r>
    <s v="ORD-1442"/>
    <d v="2024-05-22T00:00:00"/>
    <x v="3"/>
    <x v="3"/>
    <x v="2"/>
    <n v="4"/>
    <n v="9735.18"/>
    <n v="851.83"/>
    <n v="8.7500179760415325E-2"/>
  </r>
  <r>
    <s v="ORD-1443"/>
    <d v="2024-05-08T00:00:00"/>
    <x v="2"/>
    <x v="1"/>
    <x v="0"/>
    <n v="2"/>
    <n v="11568.24"/>
    <n v="2789.95"/>
    <n v="0.24117324675145052"/>
  </r>
  <r>
    <s v="ORD-1444"/>
    <d v="2024-09-14T00:00:00"/>
    <x v="0"/>
    <x v="0"/>
    <x v="1"/>
    <n v="6"/>
    <n v="13037.59"/>
    <n v="2152.4899999999998"/>
    <n v="0.16509876441888416"/>
  </r>
  <r>
    <s v="ORD-1445"/>
    <d v="2024-10-15T00:00:00"/>
    <x v="4"/>
    <x v="1"/>
    <x v="2"/>
    <n v="9"/>
    <n v="18128.84"/>
    <n v="2270.2399999999998"/>
    <n v="0.12522808960749832"/>
  </r>
  <r>
    <s v="ORD-1446"/>
    <d v="2024-08-04T00:00:00"/>
    <x v="0"/>
    <x v="1"/>
    <x v="0"/>
    <n v="7"/>
    <n v="18689.37"/>
    <n v="2236.89"/>
    <n v="0.11968782254297497"/>
  </r>
  <r>
    <s v="ORD-1447"/>
    <d v="2024-07-04T00:00:00"/>
    <x v="2"/>
    <x v="2"/>
    <x v="2"/>
    <n v="10"/>
    <n v="10752.94"/>
    <n v="2367.59"/>
    <n v="0.22018071336769293"/>
  </r>
  <r>
    <s v="ORD-1448"/>
    <d v="2024-03-06T00:00:00"/>
    <x v="1"/>
    <x v="3"/>
    <x v="2"/>
    <n v="8"/>
    <n v="3371.65"/>
    <n v="775.13"/>
    <n v="0.22989634155383862"/>
  </r>
  <r>
    <s v="ORD-1449"/>
    <d v="2024-01-13T00:00:00"/>
    <x v="0"/>
    <x v="3"/>
    <x v="2"/>
    <n v="3"/>
    <n v="9481"/>
    <n v="870.66"/>
    <n v="9.1832085223077731E-2"/>
  </r>
  <r>
    <s v="ORD-1450"/>
    <d v="2024-06-21T00:00:00"/>
    <x v="4"/>
    <x v="3"/>
    <x v="0"/>
    <n v="5"/>
    <n v="14139.81"/>
    <n v="3203.38"/>
    <n v="0.22655042748099163"/>
  </r>
  <r>
    <s v="ORD-1451"/>
    <d v="2024-09-18T00:00:00"/>
    <x v="1"/>
    <x v="1"/>
    <x v="0"/>
    <n v="1"/>
    <n v="6972.11"/>
    <n v="1224.1099999999999"/>
    <n v="0.17557238769898925"/>
  </r>
  <r>
    <s v="ORD-1452"/>
    <d v="2024-05-22T00:00:00"/>
    <x v="1"/>
    <x v="2"/>
    <x v="1"/>
    <n v="5"/>
    <n v="1331.48"/>
    <n v="330.59"/>
    <n v="0.24828761979151018"/>
  </r>
  <r>
    <s v="ORD-1453"/>
    <d v="2024-10-28T00:00:00"/>
    <x v="0"/>
    <x v="3"/>
    <x v="0"/>
    <n v="3"/>
    <n v="19549.32"/>
    <n v="3475.8"/>
    <n v="0.17779646555481216"/>
  </r>
  <r>
    <s v="ORD-1454"/>
    <d v="2024-05-04T00:00:00"/>
    <x v="0"/>
    <x v="1"/>
    <x v="0"/>
    <n v="3"/>
    <n v="5323.88"/>
    <n v="720.01"/>
    <n v="0.13524159071955039"/>
  </r>
  <r>
    <s v="ORD-1455"/>
    <d v="2024-11-17T00:00:00"/>
    <x v="3"/>
    <x v="0"/>
    <x v="2"/>
    <n v="3"/>
    <n v="11400.26"/>
    <n v="1340.98"/>
    <n v="0.11762714183711599"/>
  </r>
  <r>
    <s v="ORD-1456"/>
    <d v="2024-06-16T00:00:00"/>
    <x v="1"/>
    <x v="1"/>
    <x v="1"/>
    <n v="9"/>
    <n v="4991.74"/>
    <n v="590.57000000000005"/>
    <n v="0.11830944720678563"/>
  </r>
  <r>
    <s v="ORD-1457"/>
    <d v="2024-04-12T00:00:00"/>
    <x v="2"/>
    <x v="0"/>
    <x v="2"/>
    <n v="1"/>
    <n v="6798.46"/>
    <n v="1325.97"/>
    <n v="0.19503975900424508"/>
  </r>
  <r>
    <s v="ORD-1458"/>
    <d v="2024-05-26T00:00:00"/>
    <x v="4"/>
    <x v="1"/>
    <x v="1"/>
    <n v="5"/>
    <n v="14641.05"/>
    <n v="3644.23"/>
    <n v="0.24890496241731297"/>
  </r>
  <r>
    <s v="ORD-1459"/>
    <d v="2024-09-16T00:00:00"/>
    <x v="2"/>
    <x v="1"/>
    <x v="1"/>
    <n v="4"/>
    <n v="8322.57"/>
    <n v="780.41"/>
    <n v="9.3770313737222999E-2"/>
  </r>
  <r>
    <s v="ORD-1460"/>
    <d v="2024-10-04T00:00:00"/>
    <x v="4"/>
    <x v="3"/>
    <x v="1"/>
    <n v="8"/>
    <n v="10871.37"/>
    <n v="1938.11"/>
    <n v="0.17827651896679073"/>
  </r>
  <r>
    <s v="ORD-1461"/>
    <d v="2024-01-01T00:00:00"/>
    <x v="3"/>
    <x v="0"/>
    <x v="0"/>
    <n v="9"/>
    <n v="16778.740000000002"/>
    <n v="1793.17"/>
    <n v="0.10687155292948099"/>
  </r>
  <r>
    <s v="ORD-1462"/>
    <d v="2024-07-22T00:00:00"/>
    <x v="3"/>
    <x v="1"/>
    <x v="1"/>
    <n v="2"/>
    <n v="7021.17"/>
    <n v="1361.98"/>
    <n v="0.19398191469512915"/>
  </r>
  <r>
    <s v="ORD-1463"/>
    <d v="2024-11-18T00:00:00"/>
    <x v="4"/>
    <x v="3"/>
    <x v="0"/>
    <n v="4"/>
    <n v="9427.7199999999993"/>
    <n v="627.25"/>
    <n v="6.6532523239977437E-2"/>
  </r>
  <r>
    <s v="ORD-1464"/>
    <d v="2024-12-23T00:00:00"/>
    <x v="0"/>
    <x v="2"/>
    <x v="1"/>
    <n v="4"/>
    <n v="13532.67"/>
    <n v="2047.59"/>
    <n v="0.15130716998197694"/>
  </r>
  <r>
    <s v="ORD-1465"/>
    <d v="2024-10-11T00:00:00"/>
    <x v="3"/>
    <x v="3"/>
    <x v="1"/>
    <n v="2"/>
    <n v="16353.95"/>
    <n v="2302.2600000000002"/>
    <n v="0.14077699882902908"/>
  </r>
  <r>
    <s v="ORD-1466"/>
    <d v="2024-06-03T00:00:00"/>
    <x v="4"/>
    <x v="0"/>
    <x v="2"/>
    <n v="7"/>
    <n v="19448.13"/>
    <n v="3659.85"/>
    <n v="0.18818518798465456"/>
  </r>
  <r>
    <s v="ORD-1467"/>
    <d v="2024-01-20T00:00:00"/>
    <x v="3"/>
    <x v="2"/>
    <x v="1"/>
    <n v="5"/>
    <n v="5027.87"/>
    <n v="1047.0999999999999"/>
    <n v="0.20825916342307974"/>
  </r>
  <r>
    <s v="ORD-1468"/>
    <d v="2024-12-10T00:00:00"/>
    <x v="2"/>
    <x v="2"/>
    <x v="1"/>
    <n v="6"/>
    <n v="11570.44"/>
    <n v="1316.49"/>
    <n v="0.11378046124434334"/>
  </r>
  <r>
    <s v="ORD-1469"/>
    <d v="2024-11-05T00:00:00"/>
    <x v="4"/>
    <x v="2"/>
    <x v="2"/>
    <n v="3"/>
    <n v="3505.35"/>
    <n v="719.74"/>
    <n v="0.20532614432225027"/>
  </r>
  <r>
    <s v="ORD-1470"/>
    <d v="2024-09-01T00:00:00"/>
    <x v="4"/>
    <x v="1"/>
    <x v="1"/>
    <n v="7"/>
    <n v="3764.26"/>
    <n v="485.3"/>
    <n v="0.12892308182750395"/>
  </r>
  <r>
    <s v="ORD-1471"/>
    <d v="2024-10-26T00:00:00"/>
    <x v="2"/>
    <x v="3"/>
    <x v="2"/>
    <n v="9"/>
    <n v="13452.91"/>
    <n v="1066.73"/>
    <n v="7.9293624948059568E-2"/>
  </r>
  <r>
    <s v="ORD-1472"/>
    <d v="2024-01-28T00:00:00"/>
    <x v="2"/>
    <x v="0"/>
    <x v="0"/>
    <n v="3"/>
    <n v="16393.12"/>
    <n v="3625.75"/>
    <n v="0.22117510272602167"/>
  </r>
  <r>
    <s v="ORD-1473"/>
    <d v="2024-07-03T00:00:00"/>
    <x v="0"/>
    <x v="3"/>
    <x v="0"/>
    <n v="2"/>
    <n v="715.27"/>
    <n v="78.16"/>
    <n v="0.10927342122555118"/>
  </r>
  <r>
    <s v="ORD-1474"/>
    <d v="2024-05-08T00:00:00"/>
    <x v="1"/>
    <x v="3"/>
    <x v="2"/>
    <n v="1"/>
    <n v="4300.21"/>
    <n v="654"/>
    <n v="0.15208559581973904"/>
  </r>
  <r>
    <s v="ORD-1475"/>
    <d v="2024-04-13T00:00:00"/>
    <x v="0"/>
    <x v="3"/>
    <x v="2"/>
    <n v="4"/>
    <n v="17932.22"/>
    <n v="1562.22"/>
    <n v="8.7118047849067209E-2"/>
  </r>
  <r>
    <s v="ORD-1476"/>
    <d v="2024-03-01T00:00:00"/>
    <x v="4"/>
    <x v="0"/>
    <x v="2"/>
    <n v="8"/>
    <n v="12447.81"/>
    <n v="1574.17"/>
    <n v="0.12646160248268573"/>
  </r>
  <r>
    <s v="ORD-1477"/>
    <d v="2024-09-06T00:00:00"/>
    <x v="1"/>
    <x v="1"/>
    <x v="1"/>
    <n v="4"/>
    <n v="7948.28"/>
    <n v="921"/>
    <n v="0.11587412622605142"/>
  </r>
  <r>
    <s v="ORD-1478"/>
    <d v="2024-02-11T00:00:00"/>
    <x v="3"/>
    <x v="0"/>
    <x v="2"/>
    <n v="3"/>
    <n v="19780.060000000001"/>
    <n v="1577.11"/>
    <n v="7.9732316282154853E-2"/>
  </r>
  <r>
    <s v="ORD-1479"/>
    <d v="2024-05-15T00:00:00"/>
    <x v="0"/>
    <x v="1"/>
    <x v="0"/>
    <n v="6"/>
    <n v="19378.009999999998"/>
    <n v="2534.5500000000002"/>
    <n v="0.13079516420932802"/>
  </r>
  <r>
    <s v="ORD-1480"/>
    <d v="2024-04-10T00:00:00"/>
    <x v="3"/>
    <x v="0"/>
    <x v="2"/>
    <n v="2"/>
    <n v="12257.34"/>
    <n v="1065.8499999999999"/>
    <n v="8.6956060613477298E-2"/>
  </r>
  <r>
    <s v="ORD-1481"/>
    <d v="2024-07-27T00:00:00"/>
    <x v="2"/>
    <x v="0"/>
    <x v="1"/>
    <n v="5"/>
    <n v="10948.46"/>
    <n v="2420.4899999999998"/>
    <n v="0.22108040765550588"/>
  </r>
  <r>
    <s v="ORD-1482"/>
    <d v="2024-05-16T00:00:00"/>
    <x v="2"/>
    <x v="3"/>
    <x v="0"/>
    <n v="1"/>
    <n v="6870.95"/>
    <n v="1182.3800000000001"/>
    <n v="0.17208391852655019"/>
  </r>
  <r>
    <s v="ORD-1483"/>
    <d v="2024-06-28T00:00:00"/>
    <x v="2"/>
    <x v="2"/>
    <x v="1"/>
    <n v="8"/>
    <n v="16898"/>
    <n v="2962.16"/>
    <n v="0.17529648479109952"/>
  </r>
  <r>
    <s v="ORD-1484"/>
    <d v="2024-02-26T00:00:00"/>
    <x v="4"/>
    <x v="1"/>
    <x v="1"/>
    <n v="6"/>
    <n v="6541.76"/>
    <n v="1251.19"/>
    <n v="0.19126198454238616"/>
  </r>
  <r>
    <s v="ORD-1485"/>
    <d v="2024-10-09T00:00:00"/>
    <x v="3"/>
    <x v="2"/>
    <x v="0"/>
    <n v="4"/>
    <n v="9860.1299999999992"/>
    <n v="657.38"/>
    <n v="6.6670520571229797E-2"/>
  </r>
  <r>
    <s v="ORD-1486"/>
    <d v="2024-06-24T00:00:00"/>
    <x v="0"/>
    <x v="0"/>
    <x v="1"/>
    <n v="6"/>
    <n v="9888.75"/>
    <n v="1861.03"/>
    <n v="0.18819668815573251"/>
  </r>
  <r>
    <s v="ORD-1487"/>
    <d v="2024-09-11T00:00:00"/>
    <x v="4"/>
    <x v="1"/>
    <x v="2"/>
    <n v="4"/>
    <n v="13812.09"/>
    <n v="3379.72"/>
    <n v="0.24469287414142246"/>
  </r>
  <r>
    <s v="ORD-1488"/>
    <d v="2024-09-24T00:00:00"/>
    <x v="2"/>
    <x v="2"/>
    <x v="0"/>
    <n v="3"/>
    <n v="7938.74"/>
    <n v="1366.96"/>
    <n v="0.17218853369678314"/>
  </r>
  <r>
    <s v="ORD-1489"/>
    <d v="2024-11-23T00:00:00"/>
    <x v="0"/>
    <x v="0"/>
    <x v="2"/>
    <n v="9"/>
    <n v="11412.53"/>
    <n v="2092.7199999999998"/>
    <n v="0.18337038325419514"/>
  </r>
  <r>
    <s v="ORD-1490"/>
    <d v="2024-02-15T00:00:00"/>
    <x v="2"/>
    <x v="1"/>
    <x v="1"/>
    <n v="3"/>
    <n v="14216.17"/>
    <n v="1137.6199999999999"/>
    <n v="8.0022959770458563E-2"/>
  </r>
  <r>
    <s v="ORD-1491"/>
    <d v="2024-02-03T00:00:00"/>
    <x v="2"/>
    <x v="1"/>
    <x v="2"/>
    <n v="9"/>
    <n v="3472.67"/>
    <n v="465.65"/>
    <n v="0.13408990776549456"/>
  </r>
  <r>
    <s v="ORD-1492"/>
    <d v="2024-11-06T00:00:00"/>
    <x v="3"/>
    <x v="1"/>
    <x v="0"/>
    <n v="5"/>
    <n v="9564.83"/>
    <n v="711.19"/>
    <n v="7.4354693183255743E-2"/>
  </r>
  <r>
    <s v="ORD-1493"/>
    <d v="2024-01-07T00:00:00"/>
    <x v="1"/>
    <x v="2"/>
    <x v="1"/>
    <n v="8"/>
    <n v="2511.29"/>
    <n v="520.48"/>
    <n v="0.20725603176056928"/>
  </r>
  <r>
    <s v="ORD-1494"/>
    <d v="2024-11-15T00:00:00"/>
    <x v="3"/>
    <x v="2"/>
    <x v="2"/>
    <n v="3"/>
    <n v="8746.15"/>
    <n v="1610.84"/>
    <n v="0.18417703789667453"/>
  </r>
  <r>
    <s v="ORD-1495"/>
    <d v="2024-08-28T00:00:00"/>
    <x v="2"/>
    <x v="3"/>
    <x v="1"/>
    <n v="5"/>
    <n v="9558.49"/>
    <n v="1859.65"/>
    <n v="0.19455478846554217"/>
  </r>
  <r>
    <s v="ORD-1496"/>
    <d v="2024-05-13T00:00:00"/>
    <x v="2"/>
    <x v="3"/>
    <x v="1"/>
    <n v="6"/>
    <n v="12808.16"/>
    <n v="2330.3000000000002"/>
    <n v="0.18193870157774419"/>
  </r>
  <r>
    <s v="ORD-1497"/>
    <d v="2024-12-04T00:00:00"/>
    <x v="0"/>
    <x v="2"/>
    <x v="2"/>
    <n v="7"/>
    <n v="5084.82"/>
    <n v="562.70000000000005"/>
    <n v="0.11066271765765555"/>
  </r>
  <r>
    <s v="ORD-1498"/>
    <d v="2024-12-11T00:00:00"/>
    <x v="3"/>
    <x v="1"/>
    <x v="2"/>
    <n v="4"/>
    <n v="4923.09"/>
    <n v="793.81"/>
    <n v="0.161242227950332"/>
  </r>
  <r>
    <s v="ORD-1499"/>
    <d v="2024-08-23T00:00:00"/>
    <x v="0"/>
    <x v="3"/>
    <x v="1"/>
    <n v="4"/>
    <n v="13476.95"/>
    <n v="1187.17"/>
    <n v="8.808892219678785E-2"/>
  </r>
  <r>
    <s v="ORD-1500"/>
    <d v="2024-02-20T00:00:00"/>
    <x v="2"/>
    <x v="1"/>
    <x v="2"/>
    <n v="10"/>
    <n v="15621.08"/>
    <n v="3603.1"/>
    <n v="0.230656267044276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310635-B495-4768-BEAC-3267E872FC36}"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ies" colHeaderCaption="Regions">
  <location ref="A19:F26" firstHeaderRow="1" firstDataRow="2" firstDataCol="1"/>
  <pivotFields count="9">
    <pivotField showAll="0"/>
    <pivotField numFmtId="14" showAll="0"/>
    <pivotField axis="axisRow" showAll="0">
      <items count="6">
        <item x="4"/>
        <item x="2"/>
        <item x="0"/>
        <item x="3"/>
        <item x="1"/>
        <item t="default"/>
      </items>
    </pivotField>
    <pivotField axis="axisCol" showAll="0">
      <items count="5">
        <item x="1"/>
        <item x="2"/>
        <item x="3"/>
        <item x="0"/>
        <item t="default"/>
      </items>
    </pivotField>
    <pivotField showAll="0">
      <items count="4">
        <item x="0"/>
        <item x="1"/>
        <item x="2"/>
        <item t="default"/>
      </items>
    </pivotField>
    <pivotField showAll="0"/>
    <pivotField numFmtId="168" showAll="0"/>
    <pivotField numFmtId="168" showAll="0"/>
    <pivotField dataField="1" numFmtId="9" showAll="0"/>
  </pivotFields>
  <rowFields count="1">
    <field x="2"/>
  </rowFields>
  <rowItems count="6">
    <i>
      <x/>
    </i>
    <i>
      <x v="1"/>
    </i>
    <i>
      <x v="2"/>
    </i>
    <i>
      <x v="3"/>
    </i>
    <i>
      <x v="4"/>
    </i>
    <i t="grand">
      <x/>
    </i>
  </rowItems>
  <colFields count="1">
    <field x="3"/>
  </colFields>
  <colItems count="5">
    <i>
      <x/>
    </i>
    <i>
      <x v="1"/>
    </i>
    <i>
      <x v="2"/>
    </i>
    <i>
      <x v="3"/>
    </i>
    <i t="grand">
      <x/>
    </i>
  </colItems>
  <dataFields count="1">
    <dataField name="Average of Profit Margin" fld="8" subtotal="average" baseField="2" baseItem="0" numFmtId="9"/>
  </dataFields>
  <formats count="3">
    <format dxfId="5">
      <pivotArea collapsedLevelsAreSubtotals="1" fieldPosition="0">
        <references count="1">
          <reference field="2" count="0"/>
        </references>
      </pivotArea>
    </format>
    <format dxfId="6">
      <pivotArea grandRow="1"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1DDE7D-EAED-4E36-AB6B-2BBD204ADBF6}"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colHeaderCaption="Segment">
  <location ref="A11:E17" firstHeaderRow="1" firstDataRow="2" firstDataCol="1"/>
  <pivotFields count="9">
    <pivotField showAll="0"/>
    <pivotField numFmtId="14"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Row" showAll="0">
      <items count="5">
        <item x="1"/>
        <item x="2"/>
        <item x="3"/>
        <item x="0"/>
        <item t="default"/>
      </items>
    </pivotField>
    <pivotField axis="axisCol" showAll="0">
      <items count="4">
        <item x="0"/>
        <item x="1"/>
        <item x="2"/>
        <item t="default"/>
      </items>
    </pivotField>
    <pivotField showAll="0"/>
    <pivotField dataField="1" numFmtId="168" showAll="0"/>
    <pivotField numFmtId="168" showAll="0"/>
    <pivotField numFmtId="9" showAll="0"/>
  </pivotFields>
  <rowFields count="1">
    <field x="3"/>
  </rowFields>
  <rowItems count="5">
    <i>
      <x/>
    </i>
    <i>
      <x v="1"/>
    </i>
    <i>
      <x v="2"/>
    </i>
    <i>
      <x v="3"/>
    </i>
    <i t="grand">
      <x/>
    </i>
  </rowItems>
  <colFields count="1">
    <field x="4"/>
  </colFields>
  <colItems count="4">
    <i>
      <x/>
    </i>
    <i>
      <x v="1"/>
    </i>
    <i>
      <x v="2"/>
    </i>
    <i t="grand">
      <x/>
    </i>
  </colItems>
  <dataFields count="1">
    <dataField name="Sum of Sales" fld="6" baseField="0" baseItem="0" numFmtId="170"/>
  </dataFields>
  <formats count="1">
    <format dxfId="8">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B2D63A-F7B6-40CD-B4B9-500AB55396F3}"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A3:B9" firstHeaderRow="1" firstDataRow="1" firstDataCol="1"/>
  <pivotFields count="9">
    <pivotField showAll="0"/>
    <pivotField numFmtId="14"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items count="4">
        <item x="0"/>
        <item x="1"/>
        <item x="2"/>
        <item t="default"/>
      </items>
    </pivotField>
    <pivotField showAll="0"/>
    <pivotField dataField="1" numFmtId="168" showAll="0"/>
    <pivotField numFmtId="168" showAll="0"/>
    <pivotField numFmtId="9" showAll="0"/>
  </pivotFields>
  <rowFields count="1">
    <field x="2"/>
  </rowFields>
  <rowItems count="6">
    <i>
      <x v="1"/>
    </i>
    <i>
      <x v="2"/>
    </i>
    <i>
      <x v="3"/>
    </i>
    <i>
      <x/>
    </i>
    <i>
      <x v="4"/>
    </i>
    <i t="grand">
      <x/>
    </i>
  </rowItems>
  <colItems count="1">
    <i/>
  </colItems>
  <dataFields count="1">
    <dataField name="Total Sales" fld="6" baseField="2" baseItem="1"/>
  </dataFields>
  <formats count="2">
    <format dxfId="9">
      <pivotArea collapsedLevelsAreSubtotals="1" fieldPosition="0">
        <references count="1">
          <reference field="2" count="0"/>
        </references>
      </pivotArea>
    </format>
    <format dxfId="7">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92D663-3384-48C1-AAE7-394239402867}" sourceName="Category">
  <pivotTables>
    <pivotTable tabId="2" name="PivotTable5"/>
    <pivotTable tabId="2" name="PivotTable4"/>
    <pivotTable tabId="2" name="PivotTable6"/>
  </pivotTables>
  <data>
    <tabular pivotCacheId="749158112">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885B64-A40A-40E0-BB52-E904C6E8606C}" sourceName="Region">
  <pivotTables>
    <pivotTable tabId="2" name="PivotTable5"/>
    <pivotTable tabId="2" name="PivotTable4"/>
    <pivotTable tabId="2" name="PivotTable6"/>
  </pivotTables>
  <data>
    <tabular pivotCacheId="749158112">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4CF73DB-5414-4372-8AE6-AE3480565C9E}" sourceName="Segment">
  <pivotTables>
    <pivotTable tabId="2" name="PivotTable5"/>
    <pivotTable tabId="2" name="PivotTable4"/>
    <pivotTable tabId="2" name="PivotTable6"/>
  </pivotTables>
  <data>
    <tabular pivotCacheId="74915811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AEEC062-CE04-4DD5-817A-D61273E3C28F}" cache="Slicer_Category" caption="Category" rowHeight="234950"/>
  <slicer name="Region" xr10:uid="{DF51492C-EEEB-4F16-9850-1EF2D9C52608}" cache="Slicer_Region" caption="Region" rowHeight="234950"/>
  <slicer name="Segment" xr10:uid="{44B5CCE6-C2AD-4339-B5EE-ED442870E9CF}"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E66A1F-EC20-41BA-BA08-9127AD6AC542}" name="Table1" displayName="Table1" ref="A1:I501" totalsRowShown="0" headerRowDxfId="10">
  <autoFilter ref="A1:I501" xr:uid="{4EE66A1F-EC20-41BA-BA08-9127AD6AC542}"/>
  <tableColumns count="9">
    <tableColumn id="1" xr3:uid="{8FBC3A22-AC0D-4345-AB14-A29539C4E87B}" name="Order ID"/>
    <tableColumn id="2" xr3:uid="{1D4B17F7-0539-4FEA-874A-26FD2A8577A9}" name="Order Date" dataDxfId="14"/>
    <tableColumn id="3" xr3:uid="{FBBB68BA-ABB0-43BB-A579-EF84C4A93CAC}" name="Category"/>
    <tableColumn id="4" xr3:uid="{1F559303-B1C2-40F6-B6BD-899AF6D62AF0}" name="Region"/>
    <tableColumn id="5" xr3:uid="{42C6CC0F-7B4F-49A8-B401-D0896304E898}" name="Segment"/>
    <tableColumn id="6" xr3:uid="{B20216DA-3739-4C2E-9DCF-19E31207D41D}" name="Quantity"/>
    <tableColumn id="7" xr3:uid="{5C68DDF6-0583-4BCC-B59A-C78688D92AFA}" name="Sales" dataDxfId="13"/>
    <tableColumn id="8" xr3:uid="{CE3F7E42-B921-4B77-B754-0EDD040608EB}" name="Profit" dataDxfId="12"/>
    <tableColumn id="9" xr3:uid="{E9CC9464-AC95-43E4-86E1-924D377BC339}" name="Profit Margin" dataDxfId="11" dataCellStyle="Percent">
      <calculatedColumnFormula>H2/G2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0F470-F53C-4549-9AE3-27DB37DA1849}">
  <dimension ref="A3:F26"/>
  <sheetViews>
    <sheetView tabSelected="1" workbookViewId="0">
      <selection activeCell="I41" sqref="I41"/>
    </sheetView>
  </sheetViews>
  <sheetFormatPr defaultRowHeight="14.4" x14ac:dyDescent="0.3"/>
  <cols>
    <col min="1" max="1" width="22" bestFit="1" customWidth="1"/>
    <col min="2" max="3" width="11.44140625" bestFit="1" customWidth="1"/>
    <col min="4" max="4" width="13.21875" bestFit="1" customWidth="1"/>
    <col min="5" max="5" width="11.44140625" bestFit="1" customWidth="1"/>
    <col min="6" max="6" width="10.77734375" bestFit="1" customWidth="1"/>
    <col min="7" max="7" width="22" bestFit="1" customWidth="1"/>
    <col min="8" max="8" width="9.77734375" bestFit="1" customWidth="1"/>
    <col min="9" max="9" width="5.88671875" bestFit="1" customWidth="1"/>
    <col min="10" max="10" width="6" bestFit="1" customWidth="1"/>
    <col min="11" max="11" width="5.21875" bestFit="1" customWidth="1"/>
    <col min="12" max="12" width="10.77734375" bestFit="1" customWidth="1"/>
    <col min="13" max="13" width="18.77734375" bestFit="1" customWidth="1"/>
    <col min="14" max="14" width="11.6640625" bestFit="1" customWidth="1"/>
    <col min="15" max="15" width="18.77734375" bestFit="1" customWidth="1"/>
    <col min="16" max="16" width="16.44140625" bestFit="1" customWidth="1"/>
    <col min="17" max="17" width="23.5546875" bestFit="1" customWidth="1"/>
  </cols>
  <sheetData>
    <row r="3" spans="1:5" x14ac:dyDescent="0.3">
      <c r="A3" s="6" t="s">
        <v>2</v>
      </c>
      <c r="B3" t="s">
        <v>524</v>
      </c>
    </row>
    <row r="4" spans="1:5" x14ac:dyDescent="0.3">
      <c r="A4" s="7" t="s">
        <v>510</v>
      </c>
      <c r="B4" s="8">
        <v>1256377.9600000002</v>
      </c>
    </row>
    <row r="5" spans="1:5" x14ac:dyDescent="0.3">
      <c r="A5" s="7" t="s">
        <v>508</v>
      </c>
      <c r="B5" s="8">
        <v>1081444.51</v>
      </c>
    </row>
    <row r="6" spans="1:5" x14ac:dyDescent="0.3">
      <c r="A6" s="7" t="s">
        <v>511</v>
      </c>
      <c r="B6" s="8">
        <v>983712.67000000027</v>
      </c>
    </row>
    <row r="7" spans="1:5" x14ac:dyDescent="0.3">
      <c r="A7" s="7" t="s">
        <v>512</v>
      </c>
      <c r="B7" s="8">
        <v>921652.28000000038</v>
      </c>
    </row>
    <row r="8" spans="1:5" x14ac:dyDescent="0.3">
      <c r="A8" s="7" t="s">
        <v>509</v>
      </c>
      <c r="B8" s="8">
        <v>898551.41</v>
      </c>
    </row>
    <row r="9" spans="1:5" x14ac:dyDescent="0.3">
      <c r="A9" s="7" t="s">
        <v>521</v>
      </c>
      <c r="B9" s="8">
        <v>5141738.830000001</v>
      </c>
    </row>
    <row r="11" spans="1:5" x14ac:dyDescent="0.3">
      <c r="A11" s="6" t="s">
        <v>522</v>
      </c>
      <c r="B11" s="6" t="s">
        <v>4</v>
      </c>
    </row>
    <row r="12" spans="1:5" x14ac:dyDescent="0.3">
      <c r="A12" s="6" t="s">
        <v>3</v>
      </c>
      <c r="B12" t="s">
        <v>517</v>
      </c>
      <c r="C12" t="s">
        <v>518</v>
      </c>
      <c r="D12" t="s">
        <v>519</v>
      </c>
      <c r="E12" t="s">
        <v>521</v>
      </c>
    </row>
    <row r="13" spans="1:5" x14ac:dyDescent="0.3">
      <c r="A13" s="7" t="s">
        <v>514</v>
      </c>
      <c r="B13" s="8">
        <v>565923.37999999989</v>
      </c>
      <c r="C13" s="8">
        <v>385573.94</v>
      </c>
      <c r="D13" s="8">
        <v>416547.43</v>
      </c>
      <c r="E13" s="8">
        <v>1368044.7499999998</v>
      </c>
    </row>
    <row r="14" spans="1:5" x14ac:dyDescent="0.3">
      <c r="A14" s="7" t="s">
        <v>515</v>
      </c>
      <c r="B14" s="8">
        <v>431429.16999999987</v>
      </c>
      <c r="C14" s="8">
        <v>496825.85999999987</v>
      </c>
      <c r="D14" s="8">
        <v>389108.98</v>
      </c>
      <c r="E14" s="8">
        <v>1317364.0099999998</v>
      </c>
    </row>
    <row r="15" spans="1:5" x14ac:dyDescent="0.3">
      <c r="A15" s="7" t="s">
        <v>516</v>
      </c>
      <c r="B15" s="8">
        <v>299507.57</v>
      </c>
      <c r="C15" s="8">
        <v>450136.26999999996</v>
      </c>
      <c r="D15" s="8">
        <v>325331.29000000004</v>
      </c>
      <c r="E15" s="8">
        <v>1074975.1299999999</v>
      </c>
    </row>
    <row r="16" spans="1:5" x14ac:dyDescent="0.3">
      <c r="A16" s="7" t="s">
        <v>513</v>
      </c>
      <c r="B16" s="8">
        <v>444486.75999999989</v>
      </c>
      <c r="C16" s="8">
        <v>458512.2699999999</v>
      </c>
      <c r="D16" s="8">
        <v>478355.91000000021</v>
      </c>
      <c r="E16" s="8">
        <v>1381354.94</v>
      </c>
    </row>
    <row r="17" spans="1:6" x14ac:dyDescent="0.3">
      <c r="A17" s="7" t="s">
        <v>521</v>
      </c>
      <c r="B17" s="8">
        <v>1741346.88</v>
      </c>
      <c r="C17" s="8">
        <v>1791048.3399999999</v>
      </c>
      <c r="D17" s="8">
        <v>1609343.61</v>
      </c>
      <c r="E17" s="8">
        <v>5141738.83</v>
      </c>
    </row>
    <row r="19" spans="1:6" x14ac:dyDescent="0.3">
      <c r="A19" s="6" t="s">
        <v>523</v>
      </c>
      <c r="B19" s="6" t="s">
        <v>526</v>
      </c>
    </row>
    <row r="20" spans="1:6" x14ac:dyDescent="0.3">
      <c r="A20" s="6" t="s">
        <v>525</v>
      </c>
      <c r="B20" t="s">
        <v>514</v>
      </c>
      <c r="C20" t="s">
        <v>515</v>
      </c>
      <c r="D20" t="s">
        <v>516</v>
      </c>
      <c r="E20" t="s">
        <v>513</v>
      </c>
      <c r="F20" t="s">
        <v>521</v>
      </c>
    </row>
    <row r="21" spans="1:6" x14ac:dyDescent="0.3">
      <c r="A21" s="7" t="s">
        <v>512</v>
      </c>
      <c r="B21" s="9">
        <v>0.15466867295466169</v>
      </c>
      <c r="C21" s="9">
        <v>0.13811607826678043</v>
      </c>
      <c r="D21" s="9">
        <v>0.14456908729162329</v>
      </c>
      <c r="E21" s="9">
        <v>0.14020466667856296</v>
      </c>
      <c r="F21" s="9">
        <v>0.14598366224705164</v>
      </c>
    </row>
    <row r="22" spans="1:6" x14ac:dyDescent="0.3">
      <c r="A22" s="7" t="s">
        <v>510</v>
      </c>
      <c r="B22" s="9">
        <v>0.12657770758941414</v>
      </c>
      <c r="C22" s="9">
        <v>0.16198343116858865</v>
      </c>
      <c r="D22" s="9">
        <v>0.1350453327326866</v>
      </c>
      <c r="E22" s="9">
        <v>0.15982394657164473</v>
      </c>
      <c r="F22" s="9">
        <v>0.14665262581274302</v>
      </c>
    </row>
    <row r="23" spans="1:6" x14ac:dyDescent="0.3">
      <c r="A23" s="7" t="s">
        <v>508</v>
      </c>
      <c r="B23" s="9">
        <v>0.14779081373059638</v>
      </c>
      <c r="C23" s="9">
        <v>0.14796945364144906</v>
      </c>
      <c r="D23" s="9">
        <v>0.12777706061522437</v>
      </c>
      <c r="E23" s="9">
        <v>0.14415631222882661</v>
      </c>
      <c r="F23" s="9">
        <v>0.1426815976525444</v>
      </c>
    </row>
    <row r="24" spans="1:6" x14ac:dyDescent="0.3">
      <c r="A24" s="7" t="s">
        <v>511</v>
      </c>
      <c r="B24" s="9">
        <v>0.14539076096606388</v>
      </c>
      <c r="C24" s="9">
        <v>0.15868003098456537</v>
      </c>
      <c r="D24" s="9">
        <v>0.11992928990646387</v>
      </c>
      <c r="E24" s="9">
        <v>0.15090152286123912</v>
      </c>
      <c r="F24" s="9">
        <v>0.1433842187882152</v>
      </c>
    </row>
    <row r="25" spans="1:6" x14ac:dyDescent="0.3">
      <c r="A25" s="7" t="s">
        <v>509</v>
      </c>
      <c r="B25" s="9">
        <v>0.13788002985562686</v>
      </c>
      <c r="C25" s="9">
        <v>0.15788086837401166</v>
      </c>
      <c r="D25" s="9">
        <v>0.1378667546778769</v>
      </c>
      <c r="E25" s="9">
        <v>0.14822097610158314</v>
      </c>
      <c r="F25" s="9">
        <v>0.14654247806213494</v>
      </c>
    </row>
    <row r="26" spans="1:6" x14ac:dyDescent="0.3">
      <c r="A26" s="7" t="s">
        <v>521</v>
      </c>
      <c r="B26" s="9">
        <v>0.14284176098093007</v>
      </c>
      <c r="C26" s="9">
        <v>0.15363164097643084</v>
      </c>
      <c r="D26" s="9">
        <v>0.13302949572396525</v>
      </c>
      <c r="E26" s="9">
        <v>0.14960770938018816</v>
      </c>
      <c r="F26" s="9">
        <v>0.1450941828027959</v>
      </c>
    </row>
  </sheetData>
  <conditionalFormatting pivot="1" sqref="B13:E16">
    <cfRule type="colorScale" priority="1">
      <colorScale>
        <cfvo type="min"/>
        <cfvo type="max"/>
        <color rgb="FFFCFCFF"/>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pane ySplit="1" topLeftCell="A2" activePane="bottomLeft" state="frozen"/>
      <selection pane="bottomLeft" activeCell="C14" sqref="C14"/>
    </sheetView>
  </sheetViews>
  <sheetFormatPr defaultRowHeight="14.4" x14ac:dyDescent="0.3"/>
  <cols>
    <col min="1" max="1" width="9.88671875" customWidth="1"/>
    <col min="2" max="2" width="12" customWidth="1"/>
    <col min="3" max="3" width="14.21875" bestFit="1" customWidth="1"/>
    <col min="4" max="4" width="8.6640625" customWidth="1"/>
    <col min="5" max="5" width="12.6640625" bestFit="1" customWidth="1"/>
    <col min="6" max="6" width="10.21875" customWidth="1"/>
    <col min="7" max="7" width="7.88671875" bestFit="1" customWidth="1"/>
    <col min="8" max="8" width="7.5546875" customWidth="1"/>
    <col min="9" max="9" width="14" customWidth="1"/>
  </cols>
  <sheetData>
    <row r="1" spans="1:9" x14ac:dyDescent="0.3">
      <c r="A1" s="1" t="s">
        <v>0</v>
      </c>
      <c r="B1" s="1" t="s">
        <v>1</v>
      </c>
      <c r="C1" s="1" t="s">
        <v>2</v>
      </c>
      <c r="D1" s="1" t="s">
        <v>3</v>
      </c>
      <c r="E1" s="1" t="s">
        <v>4</v>
      </c>
      <c r="F1" s="1" t="s">
        <v>5</v>
      </c>
      <c r="G1" s="1" t="s">
        <v>6</v>
      </c>
      <c r="H1" s="1" t="s">
        <v>7</v>
      </c>
      <c r="I1" s="3" t="s">
        <v>520</v>
      </c>
    </row>
    <row r="2" spans="1:9" x14ac:dyDescent="0.3">
      <c r="A2" t="s">
        <v>8</v>
      </c>
      <c r="B2" s="5">
        <v>45650</v>
      </c>
      <c r="C2" t="s">
        <v>508</v>
      </c>
      <c r="D2" t="s">
        <v>513</v>
      </c>
      <c r="E2" t="s">
        <v>517</v>
      </c>
      <c r="F2">
        <v>5</v>
      </c>
      <c r="G2" s="2">
        <v>15342.42</v>
      </c>
      <c r="H2" s="2">
        <v>3566.5</v>
      </c>
      <c r="I2" s="4">
        <f>H2/G2</f>
        <v>0.23246006822913204</v>
      </c>
    </row>
    <row r="3" spans="1:9" x14ac:dyDescent="0.3">
      <c r="A3" t="s">
        <v>9</v>
      </c>
      <c r="B3" s="5">
        <v>45610</v>
      </c>
      <c r="C3" t="s">
        <v>509</v>
      </c>
      <c r="D3" t="s">
        <v>513</v>
      </c>
      <c r="E3" t="s">
        <v>518</v>
      </c>
      <c r="F3">
        <v>9</v>
      </c>
      <c r="G3" s="2">
        <v>1159.47</v>
      </c>
      <c r="H3" s="2">
        <v>238.52</v>
      </c>
      <c r="I3" s="4">
        <f t="shared" ref="I3:I66" si="0">H3/G3</f>
        <v>0.20571467998309573</v>
      </c>
    </row>
    <row r="4" spans="1:9" x14ac:dyDescent="0.3">
      <c r="A4" t="s">
        <v>10</v>
      </c>
      <c r="B4" s="5">
        <v>45408</v>
      </c>
      <c r="C4" t="s">
        <v>508</v>
      </c>
      <c r="D4" t="s">
        <v>514</v>
      </c>
      <c r="E4" t="s">
        <v>519</v>
      </c>
      <c r="F4">
        <v>9</v>
      </c>
      <c r="G4" s="2">
        <v>14783.96</v>
      </c>
      <c r="H4" s="2">
        <v>899.5</v>
      </c>
      <c r="I4" s="4">
        <f t="shared" si="0"/>
        <v>6.0842967648721998E-2</v>
      </c>
    </row>
    <row r="5" spans="1:9" x14ac:dyDescent="0.3">
      <c r="A5" t="s">
        <v>11</v>
      </c>
      <c r="B5" s="5">
        <v>45390</v>
      </c>
      <c r="C5" t="s">
        <v>510</v>
      </c>
      <c r="D5" t="s">
        <v>513</v>
      </c>
      <c r="E5" t="s">
        <v>517</v>
      </c>
      <c r="F5">
        <v>2</v>
      </c>
      <c r="G5" s="2">
        <v>11223.15</v>
      </c>
      <c r="H5" s="2">
        <v>598.64</v>
      </c>
      <c r="I5" s="4">
        <f t="shared" si="0"/>
        <v>5.3339748644542752E-2</v>
      </c>
    </row>
    <row r="6" spans="1:9" x14ac:dyDescent="0.3">
      <c r="A6" t="s">
        <v>12</v>
      </c>
      <c r="B6" s="5">
        <v>45409</v>
      </c>
      <c r="C6" t="s">
        <v>509</v>
      </c>
      <c r="D6" t="s">
        <v>515</v>
      </c>
      <c r="E6" t="s">
        <v>517</v>
      </c>
      <c r="F6">
        <v>9</v>
      </c>
      <c r="G6" s="2">
        <v>12002.87</v>
      </c>
      <c r="H6" s="2">
        <v>2076.91</v>
      </c>
      <c r="I6" s="4">
        <f t="shared" si="0"/>
        <v>0.17303444926088507</v>
      </c>
    </row>
    <row r="7" spans="1:9" x14ac:dyDescent="0.3">
      <c r="A7" t="s">
        <v>13</v>
      </c>
      <c r="B7" s="5">
        <v>45609</v>
      </c>
      <c r="C7" t="s">
        <v>508</v>
      </c>
      <c r="D7" t="s">
        <v>516</v>
      </c>
      <c r="E7" t="s">
        <v>519</v>
      </c>
      <c r="F7">
        <v>1</v>
      </c>
      <c r="G7" s="2">
        <v>4178.0600000000004</v>
      </c>
      <c r="H7" s="2">
        <v>228.2</v>
      </c>
      <c r="I7" s="4">
        <f t="shared" si="0"/>
        <v>5.4618650761358134E-2</v>
      </c>
    </row>
    <row r="8" spans="1:9" x14ac:dyDescent="0.3">
      <c r="A8" t="s">
        <v>14</v>
      </c>
      <c r="B8" s="5">
        <v>45642</v>
      </c>
      <c r="C8" t="s">
        <v>510</v>
      </c>
      <c r="D8" t="s">
        <v>514</v>
      </c>
      <c r="E8" t="s">
        <v>519</v>
      </c>
      <c r="F8">
        <v>9</v>
      </c>
      <c r="G8" s="2">
        <v>13781.72</v>
      </c>
      <c r="H8" s="2">
        <v>990.17</v>
      </c>
      <c r="I8" s="4">
        <f t="shared" si="0"/>
        <v>7.1846620015498797E-2</v>
      </c>
    </row>
    <row r="9" spans="1:9" x14ac:dyDescent="0.3">
      <c r="A9" t="s">
        <v>15</v>
      </c>
      <c r="B9" s="5">
        <v>45576</v>
      </c>
      <c r="C9" t="s">
        <v>511</v>
      </c>
      <c r="D9" t="s">
        <v>515</v>
      </c>
      <c r="E9" t="s">
        <v>518</v>
      </c>
      <c r="F9">
        <v>9</v>
      </c>
      <c r="G9" s="2">
        <v>9650.33</v>
      </c>
      <c r="H9" s="2">
        <v>596.78</v>
      </c>
      <c r="I9" s="4">
        <f t="shared" si="0"/>
        <v>6.1840372298149385E-2</v>
      </c>
    </row>
    <row r="10" spans="1:9" x14ac:dyDescent="0.3">
      <c r="A10" t="s">
        <v>16</v>
      </c>
      <c r="B10" s="5">
        <v>45415</v>
      </c>
      <c r="C10" t="s">
        <v>508</v>
      </c>
      <c r="D10" t="s">
        <v>515</v>
      </c>
      <c r="E10" t="s">
        <v>517</v>
      </c>
      <c r="F10">
        <v>2</v>
      </c>
      <c r="G10" s="2">
        <v>10581.36</v>
      </c>
      <c r="H10" s="2">
        <v>1679.67</v>
      </c>
      <c r="I10" s="4">
        <f t="shared" si="0"/>
        <v>0.15873857424754473</v>
      </c>
    </row>
    <row r="11" spans="1:9" x14ac:dyDescent="0.3">
      <c r="A11" t="s">
        <v>17</v>
      </c>
      <c r="B11" s="5">
        <v>45617</v>
      </c>
      <c r="C11" t="s">
        <v>509</v>
      </c>
      <c r="D11" t="s">
        <v>513</v>
      </c>
      <c r="E11" t="s">
        <v>517</v>
      </c>
      <c r="F11">
        <v>4</v>
      </c>
      <c r="G11" s="2">
        <v>12728.58</v>
      </c>
      <c r="H11" s="2">
        <v>742.08</v>
      </c>
      <c r="I11" s="4">
        <f t="shared" si="0"/>
        <v>5.8300297440877148E-2</v>
      </c>
    </row>
    <row r="12" spans="1:9" x14ac:dyDescent="0.3">
      <c r="A12" t="s">
        <v>18</v>
      </c>
      <c r="B12" s="5">
        <v>45542</v>
      </c>
      <c r="C12" t="s">
        <v>510</v>
      </c>
      <c r="D12" t="s">
        <v>513</v>
      </c>
      <c r="E12" t="s">
        <v>518</v>
      </c>
      <c r="F12">
        <v>4</v>
      </c>
      <c r="G12" s="2">
        <v>5956.87</v>
      </c>
      <c r="H12" s="2">
        <v>507.89</v>
      </c>
      <c r="I12" s="4">
        <f t="shared" si="0"/>
        <v>8.5261219398778218E-2</v>
      </c>
    </row>
    <row r="13" spans="1:9" x14ac:dyDescent="0.3">
      <c r="A13" t="s">
        <v>19</v>
      </c>
      <c r="B13" s="5">
        <v>45453</v>
      </c>
      <c r="C13" t="s">
        <v>508</v>
      </c>
      <c r="D13" t="s">
        <v>515</v>
      </c>
      <c r="E13" t="s">
        <v>518</v>
      </c>
      <c r="F13">
        <v>5</v>
      </c>
      <c r="G13" s="2">
        <v>1874.89</v>
      </c>
      <c r="H13" s="2">
        <v>231.08</v>
      </c>
      <c r="I13" s="4">
        <f t="shared" si="0"/>
        <v>0.12324989732730987</v>
      </c>
    </row>
    <row r="14" spans="1:9" x14ac:dyDescent="0.3">
      <c r="A14" t="s">
        <v>20</v>
      </c>
      <c r="B14" s="5">
        <v>45518</v>
      </c>
      <c r="C14" t="s">
        <v>512</v>
      </c>
      <c r="D14" t="s">
        <v>514</v>
      </c>
      <c r="E14" t="s">
        <v>517</v>
      </c>
      <c r="F14">
        <v>4</v>
      </c>
      <c r="G14" s="2">
        <v>2062.86</v>
      </c>
      <c r="H14" s="2">
        <v>258.13</v>
      </c>
      <c r="I14" s="4">
        <f t="shared" si="0"/>
        <v>0.12513209815498869</v>
      </c>
    </row>
    <row r="15" spans="1:9" x14ac:dyDescent="0.3">
      <c r="A15" t="s">
        <v>21</v>
      </c>
      <c r="B15" s="5">
        <v>45299</v>
      </c>
      <c r="C15" t="s">
        <v>511</v>
      </c>
      <c r="D15" t="s">
        <v>513</v>
      </c>
      <c r="E15" t="s">
        <v>517</v>
      </c>
      <c r="F15">
        <v>4</v>
      </c>
      <c r="G15" s="2">
        <v>7092.79</v>
      </c>
      <c r="H15" s="2">
        <v>1452.5</v>
      </c>
      <c r="I15" s="4">
        <f t="shared" si="0"/>
        <v>0.20478542294358074</v>
      </c>
    </row>
    <row r="16" spans="1:9" x14ac:dyDescent="0.3">
      <c r="A16" t="s">
        <v>22</v>
      </c>
      <c r="B16" s="5">
        <v>45425</v>
      </c>
      <c r="C16" t="s">
        <v>510</v>
      </c>
      <c r="D16" t="s">
        <v>514</v>
      </c>
      <c r="E16" t="s">
        <v>517</v>
      </c>
      <c r="F16">
        <v>5</v>
      </c>
      <c r="G16" s="2">
        <v>9280.98</v>
      </c>
      <c r="H16" s="2">
        <v>1839.74</v>
      </c>
      <c r="I16" s="4">
        <f t="shared" si="0"/>
        <v>0.19822691138220319</v>
      </c>
    </row>
    <row r="17" spans="1:9" x14ac:dyDescent="0.3">
      <c r="A17" t="s">
        <v>23</v>
      </c>
      <c r="B17" s="5">
        <v>45332</v>
      </c>
      <c r="C17" t="s">
        <v>510</v>
      </c>
      <c r="D17" t="s">
        <v>515</v>
      </c>
      <c r="E17" t="s">
        <v>519</v>
      </c>
      <c r="F17">
        <v>5</v>
      </c>
      <c r="G17" s="2">
        <v>5311.21</v>
      </c>
      <c r="H17" s="2">
        <v>1131</v>
      </c>
      <c r="I17" s="4">
        <f t="shared" si="0"/>
        <v>0.21294582590407835</v>
      </c>
    </row>
    <row r="18" spans="1:9" x14ac:dyDescent="0.3">
      <c r="A18" t="s">
        <v>24</v>
      </c>
      <c r="B18" s="5">
        <v>45562</v>
      </c>
      <c r="C18" t="s">
        <v>509</v>
      </c>
      <c r="D18" t="s">
        <v>513</v>
      </c>
      <c r="E18" t="s">
        <v>518</v>
      </c>
      <c r="F18">
        <v>5</v>
      </c>
      <c r="G18" s="2">
        <v>14021.58</v>
      </c>
      <c r="H18" s="2">
        <v>2336.8000000000002</v>
      </c>
      <c r="I18" s="4">
        <f t="shared" si="0"/>
        <v>0.16665739524361736</v>
      </c>
    </row>
    <row r="19" spans="1:9" x14ac:dyDescent="0.3">
      <c r="A19" t="s">
        <v>25</v>
      </c>
      <c r="B19" s="5">
        <v>45418</v>
      </c>
      <c r="C19" t="s">
        <v>511</v>
      </c>
      <c r="D19" t="s">
        <v>513</v>
      </c>
      <c r="E19" t="s">
        <v>518</v>
      </c>
      <c r="F19">
        <v>6</v>
      </c>
      <c r="G19" s="2">
        <v>8256.1</v>
      </c>
      <c r="H19" s="2">
        <v>959.72</v>
      </c>
      <c r="I19" s="4">
        <f t="shared" si="0"/>
        <v>0.1162437470476375</v>
      </c>
    </row>
    <row r="20" spans="1:9" x14ac:dyDescent="0.3">
      <c r="A20" t="s">
        <v>26</v>
      </c>
      <c r="B20" s="5">
        <v>45375</v>
      </c>
      <c r="C20" t="s">
        <v>512</v>
      </c>
      <c r="D20" t="s">
        <v>515</v>
      </c>
      <c r="E20" t="s">
        <v>517</v>
      </c>
      <c r="F20">
        <v>3</v>
      </c>
      <c r="G20" s="2">
        <v>8276.42</v>
      </c>
      <c r="H20" s="2">
        <v>463.78</v>
      </c>
      <c r="I20" s="4">
        <f t="shared" si="0"/>
        <v>5.6036305552400668E-2</v>
      </c>
    </row>
    <row r="21" spans="1:9" x14ac:dyDescent="0.3">
      <c r="A21" t="s">
        <v>27</v>
      </c>
      <c r="B21" s="5">
        <v>45583</v>
      </c>
      <c r="C21" t="s">
        <v>511</v>
      </c>
      <c r="D21" t="s">
        <v>516</v>
      </c>
      <c r="E21" t="s">
        <v>518</v>
      </c>
      <c r="F21">
        <v>4</v>
      </c>
      <c r="G21" s="2">
        <v>18082.61</v>
      </c>
      <c r="H21" s="2">
        <v>2132.52</v>
      </c>
      <c r="I21" s="4">
        <f t="shared" si="0"/>
        <v>0.11793209055551161</v>
      </c>
    </row>
    <row r="22" spans="1:9" x14ac:dyDescent="0.3">
      <c r="A22" t="s">
        <v>28</v>
      </c>
      <c r="B22" s="5">
        <v>45410</v>
      </c>
      <c r="C22" t="s">
        <v>508</v>
      </c>
      <c r="D22" t="s">
        <v>514</v>
      </c>
      <c r="E22" t="s">
        <v>517</v>
      </c>
      <c r="F22">
        <v>10</v>
      </c>
      <c r="G22" s="2">
        <v>9878.32</v>
      </c>
      <c r="H22" s="2">
        <v>2161.92</v>
      </c>
      <c r="I22" s="4">
        <f t="shared" si="0"/>
        <v>0.21885502798046633</v>
      </c>
    </row>
    <row r="23" spans="1:9" x14ac:dyDescent="0.3">
      <c r="A23" t="s">
        <v>29</v>
      </c>
      <c r="B23" s="5">
        <v>45323</v>
      </c>
      <c r="C23" t="s">
        <v>509</v>
      </c>
      <c r="D23" t="s">
        <v>514</v>
      </c>
      <c r="E23" t="s">
        <v>517</v>
      </c>
      <c r="F23">
        <v>7</v>
      </c>
      <c r="G23" s="2">
        <v>10145.64</v>
      </c>
      <c r="H23" s="2">
        <v>1486.13</v>
      </c>
      <c r="I23" s="4">
        <f t="shared" si="0"/>
        <v>0.14647967008488377</v>
      </c>
    </row>
    <row r="24" spans="1:9" x14ac:dyDescent="0.3">
      <c r="A24" t="s">
        <v>30</v>
      </c>
      <c r="B24" s="5">
        <v>45498</v>
      </c>
      <c r="C24" t="s">
        <v>510</v>
      </c>
      <c r="D24" t="s">
        <v>513</v>
      </c>
      <c r="E24" t="s">
        <v>519</v>
      </c>
      <c r="F24">
        <v>5</v>
      </c>
      <c r="G24" s="2">
        <v>13265.16</v>
      </c>
      <c r="H24" s="2">
        <v>967.16</v>
      </c>
      <c r="I24" s="4">
        <f t="shared" si="0"/>
        <v>7.2909787744738844E-2</v>
      </c>
    </row>
    <row r="25" spans="1:9" x14ac:dyDescent="0.3">
      <c r="A25" t="s">
        <v>31</v>
      </c>
      <c r="B25" s="5">
        <v>45318</v>
      </c>
      <c r="C25" t="s">
        <v>508</v>
      </c>
      <c r="D25" t="s">
        <v>514</v>
      </c>
      <c r="E25" t="s">
        <v>517</v>
      </c>
      <c r="F25">
        <v>9</v>
      </c>
      <c r="G25" s="2">
        <v>7136.94</v>
      </c>
      <c r="H25" s="2">
        <v>487.42</v>
      </c>
      <c r="I25" s="4">
        <f t="shared" si="0"/>
        <v>6.8295375889386778E-2</v>
      </c>
    </row>
    <row r="26" spans="1:9" x14ac:dyDescent="0.3">
      <c r="A26" t="s">
        <v>32</v>
      </c>
      <c r="B26" s="5">
        <v>45562</v>
      </c>
      <c r="C26" t="s">
        <v>508</v>
      </c>
      <c r="D26" t="s">
        <v>513</v>
      </c>
      <c r="E26" t="s">
        <v>517</v>
      </c>
      <c r="F26">
        <v>6</v>
      </c>
      <c r="G26" s="2">
        <v>2649.96</v>
      </c>
      <c r="H26" s="2">
        <v>565.41999999999996</v>
      </c>
      <c r="I26" s="4">
        <f t="shared" si="0"/>
        <v>0.21336925840390042</v>
      </c>
    </row>
    <row r="27" spans="1:9" x14ac:dyDescent="0.3">
      <c r="A27" t="s">
        <v>33</v>
      </c>
      <c r="B27" s="5">
        <v>45348</v>
      </c>
      <c r="C27" t="s">
        <v>508</v>
      </c>
      <c r="D27" t="s">
        <v>513</v>
      </c>
      <c r="E27" t="s">
        <v>517</v>
      </c>
      <c r="F27">
        <v>1</v>
      </c>
      <c r="G27" s="2">
        <v>19447.259999999998</v>
      </c>
      <c r="H27" s="2">
        <v>1299.08</v>
      </c>
      <c r="I27" s="4">
        <f t="shared" si="0"/>
        <v>6.6800155908852965E-2</v>
      </c>
    </row>
    <row r="28" spans="1:9" x14ac:dyDescent="0.3">
      <c r="A28" t="s">
        <v>34</v>
      </c>
      <c r="B28" s="5">
        <v>45366</v>
      </c>
      <c r="C28" t="s">
        <v>512</v>
      </c>
      <c r="D28" t="s">
        <v>513</v>
      </c>
      <c r="E28" t="s">
        <v>518</v>
      </c>
      <c r="F28">
        <v>9</v>
      </c>
      <c r="G28" s="2">
        <v>4532.28</v>
      </c>
      <c r="H28" s="2">
        <v>757.55</v>
      </c>
      <c r="I28" s="4">
        <f t="shared" si="0"/>
        <v>0.16714545438498946</v>
      </c>
    </row>
    <row r="29" spans="1:9" x14ac:dyDescent="0.3">
      <c r="A29" t="s">
        <v>35</v>
      </c>
      <c r="B29" s="5">
        <v>45580</v>
      </c>
      <c r="C29" t="s">
        <v>511</v>
      </c>
      <c r="D29" t="s">
        <v>513</v>
      </c>
      <c r="E29" t="s">
        <v>519</v>
      </c>
      <c r="F29">
        <v>4</v>
      </c>
      <c r="G29" s="2">
        <v>12607.28</v>
      </c>
      <c r="H29" s="2">
        <v>3095.22</v>
      </c>
      <c r="I29" s="4">
        <f t="shared" si="0"/>
        <v>0.24551053042369167</v>
      </c>
    </row>
    <row r="30" spans="1:9" x14ac:dyDescent="0.3">
      <c r="A30" t="s">
        <v>36</v>
      </c>
      <c r="B30" s="5">
        <v>45647</v>
      </c>
      <c r="C30" t="s">
        <v>508</v>
      </c>
      <c r="D30" t="s">
        <v>513</v>
      </c>
      <c r="E30" t="s">
        <v>519</v>
      </c>
      <c r="F30">
        <v>8</v>
      </c>
      <c r="G30" s="2">
        <v>3227.87</v>
      </c>
      <c r="H30" s="2">
        <v>487.63</v>
      </c>
      <c r="I30" s="4">
        <f t="shared" si="0"/>
        <v>0.15106866137731692</v>
      </c>
    </row>
    <row r="31" spans="1:9" x14ac:dyDescent="0.3">
      <c r="A31" t="s">
        <v>37</v>
      </c>
      <c r="B31" s="5">
        <v>45640</v>
      </c>
      <c r="C31" t="s">
        <v>512</v>
      </c>
      <c r="D31" t="s">
        <v>514</v>
      </c>
      <c r="E31" t="s">
        <v>519</v>
      </c>
      <c r="F31">
        <v>6</v>
      </c>
      <c r="G31" s="2">
        <v>2189.9</v>
      </c>
      <c r="H31" s="2">
        <v>304.07</v>
      </c>
      <c r="I31" s="4">
        <f t="shared" si="0"/>
        <v>0.13885108909082605</v>
      </c>
    </row>
    <row r="32" spans="1:9" x14ac:dyDescent="0.3">
      <c r="A32" t="s">
        <v>38</v>
      </c>
      <c r="B32" s="5">
        <v>45487</v>
      </c>
      <c r="C32" t="s">
        <v>511</v>
      </c>
      <c r="D32" t="s">
        <v>513</v>
      </c>
      <c r="E32" t="s">
        <v>519</v>
      </c>
      <c r="F32">
        <v>5</v>
      </c>
      <c r="G32" s="2">
        <v>1325.13</v>
      </c>
      <c r="H32" s="2">
        <v>227.02</v>
      </c>
      <c r="I32" s="4">
        <f t="shared" si="0"/>
        <v>0.1713190403960366</v>
      </c>
    </row>
    <row r="33" spans="1:9" x14ac:dyDescent="0.3">
      <c r="A33" t="s">
        <v>39</v>
      </c>
      <c r="B33" s="5">
        <v>45399</v>
      </c>
      <c r="C33" t="s">
        <v>512</v>
      </c>
      <c r="D33" t="s">
        <v>514</v>
      </c>
      <c r="E33" t="s">
        <v>517</v>
      </c>
      <c r="F33">
        <v>7</v>
      </c>
      <c r="G33" s="2">
        <v>11178.13</v>
      </c>
      <c r="H33" s="2">
        <v>1723.77</v>
      </c>
      <c r="I33" s="4">
        <f t="shared" si="0"/>
        <v>0.1542091566299551</v>
      </c>
    </row>
    <row r="34" spans="1:9" x14ac:dyDescent="0.3">
      <c r="A34" t="s">
        <v>40</v>
      </c>
      <c r="B34" s="5">
        <v>45294</v>
      </c>
      <c r="C34" t="s">
        <v>510</v>
      </c>
      <c r="D34" t="s">
        <v>514</v>
      </c>
      <c r="E34" t="s">
        <v>519</v>
      </c>
      <c r="F34">
        <v>4</v>
      </c>
      <c r="G34" s="2">
        <v>10181.290000000001</v>
      </c>
      <c r="H34" s="2">
        <v>1003.32</v>
      </c>
      <c r="I34" s="4">
        <f t="shared" si="0"/>
        <v>9.8545469189071325E-2</v>
      </c>
    </row>
    <row r="35" spans="1:9" x14ac:dyDescent="0.3">
      <c r="A35" t="s">
        <v>41</v>
      </c>
      <c r="B35" s="5">
        <v>45581</v>
      </c>
      <c r="C35" t="s">
        <v>512</v>
      </c>
      <c r="D35" t="s">
        <v>514</v>
      </c>
      <c r="E35" t="s">
        <v>518</v>
      </c>
      <c r="F35">
        <v>8</v>
      </c>
      <c r="G35" s="2">
        <v>8960.33</v>
      </c>
      <c r="H35" s="2">
        <v>1185.79</v>
      </c>
      <c r="I35" s="4">
        <f t="shared" si="0"/>
        <v>0.13233775988161151</v>
      </c>
    </row>
    <row r="36" spans="1:9" x14ac:dyDescent="0.3">
      <c r="A36" t="s">
        <v>42</v>
      </c>
      <c r="B36" s="5">
        <v>45295</v>
      </c>
      <c r="C36" t="s">
        <v>508</v>
      </c>
      <c r="D36" t="s">
        <v>515</v>
      </c>
      <c r="E36" t="s">
        <v>517</v>
      </c>
      <c r="F36">
        <v>3</v>
      </c>
      <c r="G36" s="2">
        <v>9757.7000000000007</v>
      </c>
      <c r="H36" s="2">
        <v>1630.28</v>
      </c>
      <c r="I36" s="4">
        <f t="shared" si="0"/>
        <v>0.16707625772466872</v>
      </c>
    </row>
    <row r="37" spans="1:9" x14ac:dyDescent="0.3">
      <c r="A37" t="s">
        <v>43</v>
      </c>
      <c r="B37" s="5">
        <v>45608</v>
      </c>
      <c r="C37" t="s">
        <v>512</v>
      </c>
      <c r="D37" t="s">
        <v>516</v>
      </c>
      <c r="E37" t="s">
        <v>519</v>
      </c>
      <c r="F37">
        <v>8</v>
      </c>
      <c r="G37" s="2">
        <v>13776.9</v>
      </c>
      <c r="H37" s="2">
        <v>1514.85</v>
      </c>
      <c r="I37" s="4">
        <f t="shared" si="0"/>
        <v>0.10995579557084685</v>
      </c>
    </row>
    <row r="38" spans="1:9" x14ac:dyDescent="0.3">
      <c r="A38" t="s">
        <v>44</v>
      </c>
      <c r="B38" s="5">
        <v>45478</v>
      </c>
      <c r="C38" t="s">
        <v>508</v>
      </c>
      <c r="D38" t="s">
        <v>513</v>
      </c>
      <c r="E38" t="s">
        <v>518</v>
      </c>
      <c r="F38">
        <v>4</v>
      </c>
      <c r="G38" s="2">
        <v>17774.97</v>
      </c>
      <c r="H38" s="2">
        <v>2081.98</v>
      </c>
      <c r="I38" s="4">
        <f t="shared" si="0"/>
        <v>0.11712987419950638</v>
      </c>
    </row>
    <row r="39" spans="1:9" x14ac:dyDescent="0.3">
      <c r="A39" t="s">
        <v>45</v>
      </c>
      <c r="B39" s="5">
        <v>45593</v>
      </c>
      <c r="C39" t="s">
        <v>511</v>
      </c>
      <c r="D39" t="s">
        <v>516</v>
      </c>
      <c r="E39" t="s">
        <v>518</v>
      </c>
      <c r="F39">
        <v>7</v>
      </c>
      <c r="G39" s="2">
        <v>12045.77</v>
      </c>
      <c r="H39" s="2">
        <v>1587.44</v>
      </c>
      <c r="I39" s="4">
        <f t="shared" si="0"/>
        <v>0.13178402044867202</v>
      </c>
    </row>
    <row r="40" spans="1:9" x14ac:dyDescent="0.3">
      <c r="A40" t="s">
        <v>46</v>
      </c>
      <c r="B40" s="5">
        <v>45402</v>
      </c>
      <c r="C40" t="s">
        <v>508</v>
      </c>
      <c r="D40" t="s">
        <v>514</v>
      </c>
      <c r="E40" t="s">
        <v>519</v>
      </c>
      <c r="F40">
        <v>8</v>
      </c>
      <c r="G40" s="2">
        <v>4153.1000000000004</v>
      </c>
      <c r="H40" s="2">
        <v>999.83</v>
      </c>
      <c r="I40" s="4">
        <f t="shared" si="0"/>
        <v>0.24074305940141097</v>
      </c>
    </row>
    <row r="41" spans="1:9" x14ac:dyDescent="0.3">
      <c r="A41" t="s">
        <v>47</v>
      </c>
      <c r="B41" s="5">
        <v>45435</v>
      </c>
      <c r="C41" t="s">
        <v>508</v>
      </c>
      <c r="D41" t="s">
        <v>513</v>
      </c>
      <c r="E41" t="s">
        <v>518</v>
      </c>
      <c r="F41">
        <v>3</v>
      </c>
      <c r="G41" s="2">
        <v>19980.27</v>
      </c>
      <c r="H41" s="2">
        <v>3577.91</v>
      </c>
      <c r="I41" s="4">
        <f t="shared" si="0"/>
        <v>0.1790721546805924</v>
      </c>
    </row>
    <row r="42" spans="1:9" x14ac:dyDescent="0.3">
      <c r="A42" t="s">
        <v>48</v>
      </c>
      <c r="B42" s="5">
        <v>45543</v>
      </c>
      <c r="C42" t="s">
        <v>509</v>
      </c>
      <c r="D42" t="s">
        <v>514</v>
      </c>
      <c r="E42" t="s">
        <v>518</v>
      </c>
      <c r="F42">
        <v>6</v>
      </c>
      <c r="G42" s="2">
        <v>3578.11</v>
      </c>
      <c r="H42" s="2">
        <v>455.56</v>
      </c>
      <c r="I42" s="4">
        <f t="shared" si="0"/>
        <v>0.12731861234003425</v>
      </c>
    </row>
    <row r="43" spans="1:9" x14ac:dyDescent="0.3">
      <c r="A43" t="s">
        <v>49</v>
      </c>
      <c r="B43" s="5">
        <v>45395</v>
      </c>
      <c r="C43" t="s">
        <v>510</v>
      </c>
      <c r="D43" t="s">
        <v>514</v>
      </c>
      <c r="E43" t="s">
        <v>518</v>
      </c>
      <c r="F43">
        <v>7</v>
      </c>
      <c r="G43" s="2">
        <v>1823.75</v>
      </c>
      <c r="H43" s="2">
        <v>368.88</v>
      </c>
      <c r="I43" s="4">
        <f t="shared" si="0"/>
        <v>0.20226456477039068</v>
      </c>
    </row>
    <row r="44" spans="1:9" x14ac:dyDescent="0.3">
      <c r="A44" t="s">
        <v>50</v>
      </c>
      <c r="B44" s="5">
        <v>45456</v>
      </c>
      <c r="C44" t="s">
        <v>509</v>
      </c>
      <c r="D44" t="s">
        <v>516</v>
      </c>
      <c r="E44" t="s">
        <v>519</v>
      </c>
      <c r="F44">
        <v>7</v>
      </c>
      <c r="G44" s="2">
        <v>4847.92</v>
      </c>
      <c r="H44" s="2">
        <v>410.82</v>
      </c>
      <c r="I44" s="4">
        <f t="shared" si="0"/>
        <v>8.474149738444528E-2</v>
      </c>
    </row>
    <row r="45" spans="1:9" x14ac:dyDescent="0.3">
      <c r="A45" t="s">
        <v>51</v>
      </c>
      <c r="B45" s="5">
        <v>45295</v>
      </c>
      <c r="C45" t="s">
        <v>510</v>
      </c>
      <c r="D45" t="s">
        <v>516</v>
      </c>
      <c r="E45" t="s">
        <v>518</v>
      </c>
      <c r="F45">
        <v>3</v>
      </c>
      <c r="G45" s="2">
        <v>15486.62</v>
      </c>
      <c r="H45" s="2">
        <v>1640.85</v>
      </c>
      <c r="I45" s="4">
        <f t="shared" si="0"/>
        <v>0.10595275147191574</v>
      </c>
    </row>
    <row r="46" spans="1:9" x14ac:dyDescent="0.3">
      <c r="A46" t="s">
        <v>52</v>
      </c>
      <c r="B46" s="5">
        <v>45642</v>
      </c>
      <c r="C46" t="s">
        <v>509</v>
      </c>
      <c r="D46" t="s">
        <v>514</v>
      </c>
      <c r="E46" t="s">
        <v>518</v>
      </c>
      <c r="F46">
        <v>2</v>
      </c>
      <c r="G46" s="2">
        <v>8600.86</v>
      </c>
      <c r="H46" s="2">
        <v>949.77</v>
      </c>
      <c r="I46" s="4">
        <f t="shared" si="0"/>
        <v>0.11042732936008724</v>
      </c>
    </row>
    <row r="47" spans="1:9" x14ac:dyDescent="0.3">
      <c r="A47" t="s">
        <v>53</v>
      </c>
      <c r="B47" s="5">
        <v>45397</v>
      </c>
      <c r="C47" t="s">
        <v>512</v>
      </c>
      <c r="D47" t="s">
        <v>516</v>
      </c>
      <c r="E47" t="s">
        <v>519</v>
      </c>
      <c r="F47">
        <v>7</v>
      </c>
      <c r="G47" s="2">
        <v>5109.1099999999997</v>
      </c>
      <c r="H47" s="2">
        <v>763.25</v>
      </c>
      <c r="I47" s="4">
        <f t="shared" si="0"/>
        <v>0.14939001117611483</v>
      </c>
    </row>
    <row r="48" spans="1:9" x14ac:dyDescent="0.3">
      <c r="A48" t="s">
        <v>54</v>
      </c>
      <c r="B48" s="5">
        <v>45510</v>
      </c>
      <c r="C48" t="s">
        <v>510</v>
      </c>
      <c r="D48" t="s">
        <v>514</v>
      </c>
      <c r="E48" t="s">
        <v>519</v>
      </c>
      <c r="F48">
        <v>3</v>
      </c>
      <c r="G48" s="2">
        <v>2023.71</v>
      </c>
      <c r="H48" s="2">
        <v>456.67</v>
      </c>
      <c r="I48" s="4">
        <f t="shared" si="0"/>
        <v>0.22565980303501984</v>
      </c>
    </row>
    <row r="49" spans="1:9" x14ac:dyDescent="0.3">
      <c r="A49" t="s">
        <v>55</v>
      </c>
      <c r="B49" s="5">
        <v>45433</v>
      </c>
      <c r="C49" t="s">
        <v>512</v>
      </c>
      <c r="D49" t="s">
        <v>513</v>
      </c>
      <c r="E49" t="s">
        <v>517</v>
      </c>
      <c r="F49">
        <v>6</v>
      </c>
      <c r="G49" s="2">
        <v>12968.93</v>
      </c>
      <c r="H49" s="2">
        <v>973.68</v>
      </c>
      <c r="I49" s="4">
        <f t="shared" si="0"/>
        <v>7.507789771399799E-2</v>
      </c>
    </row>
    <row r="50" spans="1:9" x14ac:dyDescent="0.3">
      <c r="A50" t="s">
        <v>56</v>
      </c>
      <c r="B50" s="5">
        <v>45512</v>
      </c>
      <c r="C50" t="s">
        <v>512</v>
      </c>
      <c r="D50" t="s">
        <v>514</v>
      </c>
      <c r="E50" t="s">
        <v>518</v>
      </c>
      <c r="F50">
        <v>3</v>
      </c>
      <c r="G50" s="2">
        <v>15549.59</v>
      </c>
      <c r="H50" s="2">
        <v>1584.1</v>
      </c>
      <c r="I50" s="4">
        <f t="shared" si="0"/>
        <v>0.1018740687053485</v>
      </c>
    </row>
    <row r="51" spans="1:9" x14ac:dyDescent="0.3">
      <c r="A51" t="s">
        <v>57</v>
      </c>
      <c r="B51" s="5">
        <v>45294</v>
      </c>
      <c r="C51" t="s">
        <v>511</v>
      </c>
      <c r="D51" t="s">
        <v>514</v>
      </c>
      <c r="E51" t="s">
        <v>518</v>
      </c>
      <c r="F51">
        <v>2</v>
      </c>
      <c r="G51" s="2">
        <v>11498.72</v>
      </c>
      <c r="H51" s="2">
        <v>1207.69</v>
      </c>
      <c r="I51" s="4">
        <f t="shared" si="0"/>
        <v>0.10502821183575216</v>
      </c>
    </row>
    <row r="52" spans="1:9" x14ac:dyDescent="0.3">
      <c r="A52" t="s">
        <v>58</v>
      </c>
      <c r="B52" s="5">
        <v>45425</v>
      </c>
      <c r="C52" t="s">
        <v>512</v>
      </c>
      <c r="D52" t="s">
        <v>516</v>
      </c>
      <c r="E52" t="s">
        <v>519</v>
      </c>
      <c r="F52">
        <v>7</v>
      </c>
      <c r="G52" s="2">
        <v>8789.49</v>
      </c>
      <c r="H52" s="2">
        <v>1367.49</v>
      </c>
      <c r="I52" s="4">
        <f t="shared" si="0"/>
        <v>0.15558240580511498</v>
      </c>
    </row>
    <row r="53" spans="1:9" x14ac:dyDescent="0.3">
      <c r="A53" t="s">
        <v>59</v>
      </c>
      <c r="B53" s="5">
        <v>45356</v>
      </c>
      <c r="C53" t="s">
        <v>510</v>
      </c>
      <c r="D53" t="s">
        <v>513</v>
      </c>
      <c r="E53" t="s">
        <v>519</v>
      </c>
      <c r="F53">
        <v>2</v>
      </c>
      <c r="G53" s="2">
        <v>11153.75</v>
      </c>
      <c r="H53" s="2">
        <v>2686.62</v>
      </c>
      <c r="I53" s="4">
        <f t="shared" si="0"/>
        <v>0.24087145578841196</v>
      </c>
    </row>
    <row r="54" spans="1:9" x14ac:dyDescent="0.3">
      <c r="A54" t="s">
        <v>60</v>
      </c>
      <c r="B54" s="5">
        <v>45331</v>
      </c>
      <c r="C54" t="s">
        <v>512</v>
      </c>
      <c r="D54" t="s">
        <v>515</v>
      </c>
      <c r="E54" t="s">
        <v>518</v>
      </c>
      <c r="F54">
        <v>2</v>
      </c>
      <c r="G54" s="2">
        <v>5926.39</v>
      </c>
      <c r="H54" s="2">
        <v>483.99</v>
      </c>
      <c r="I54" s="4">
        <f t="shared" si="0"/>
        <v>8.16669169595656E-2</v>
      </c>
    </row>
    <row r="55" spans="1:9" x14ac:dyDescent="0.3">
      <c r="A55" t="s">
        <v>61</v>
      </c>
      <c r="B55" s="5">
        <v>45544</v>
      </c>
      <c r="C55" t="s">
        <v>509</v>
      </c>
      <c r="D55" t="s">
        <v>513</v>
      </c>
      <c r="E55" t="s">
        <v>517</v>
      </c>
      <c r="F55">
        <v>2</v>
      </c>
      <c r="G55" s="2">
        <v>13236.56</v>
      </c>
      <c r="H55" s="2">
        <v>967.19</v>
      </c>
      <c r="I55" s="4">
        <f t="shared" si="0"/>
        <v>7.3069589077524685E-2</v>
      </c>
    </row>
    <row r="56" spans="1:9" x14ac:dyDescent="0.3">
      <c r="A56" t="s">
        <v>62</v>
      </c>
      <c r="B56" s="5">
        <v>45402</v>
      </c>
      <c r="C56" t="s">
        <v>512</v>
      </c>
      <c r="D56" t="s">
        <v>515</v>
      </c>
      <c r="E56" t="s">
        <v>518</v>
      </c>
      <c r="F56">
        <v>7</v>
      </c>
      <c r="G56" s="2">
        <v>13693.18</v>
      </c>
      <c r="H56" s="2">
        <v>2436.15</v>
      </c>
      <c r="I56" s="4">
        <f t="shared" si="0"/>
        <v>0.1779097331664376</v>
      </c>
    </row>
    <row r="57" spans="1:9" x14ac:dyDescent="0.3">
      <c r="A57" t="s">
        <v>63</v>
      </c>
      <c r="B57" s="5">
        <v>45551</v>
      </c>
      <c r="C57" t="s">
        <v>512</v>
      </c>
      <c r="D57" t="s">
        <v>514</v>
      </c>
      <c r="E57" t="s">
        <v>519</v>
      </c>
      <c r="F57">
        <v>3</v>
      </c>
      <c r="G57" s="2">
        <v>1059.32</v>
      </c>
      <c r="H57" s="2">
        <v>104.77</v>
      </c>
      <c r="I57" s="4">
        <f t="shared" si="0"/>
        <v>9.8903069893894205E-2</v>
      </c>
    </row>
    <row r="58" spans="1:9" x14ac:dyDescent="0.3">
      <c r="A58" t="s">
        <v>64</v>
      </c>
      <c r="B58" s="5">
        <v>45496</v>
      </c>
      <c r="C58" t="s">
        <v>512</v>
      </c>
      <c r="D58" t="s">
        <v>515</v>
      </c>
      <c r="E58" t="s">
        <v>518</v>
      </c>
      <c r="F58">
        <v>6</v>
      </c>
      <c r="G58" s="2">
        <v>19526.599999999999</v>
      </c>
      <c r="H58" s="2">
        <v>1156.5899999999999</v>
      </c>
      <c r="I58" s="4">
        <f t="shared" si="0"/>
        <v>5.9231509837862198E-2</v>
      </c>
    </row>
    <row r="59" spans="1:9" x14ac:dyDescent="0.3">
      <c r="A59" t="s">
        <v>65</v>
      </c>
      <c r="B59" s="5">
        <v>45328</v>
      </c>
      <c r="C59" t="s">
        <v>511</v>
      </c>
      <c r="D59" t="s">
        <v>514</v>
      </c>
      <c r="E59" t="s">
        <v>517</v>
      </c>
      <c r="F59">
        <v>6</v>
      </c>
      <c r="G59" s="2">
        <v>17685.71</v>
      </c>
      <c r="H59" s="2">
        <v>3538.29</v>
      </c>
      <c r="I59" s="4">
        <f t="shared" si="0"/>
        <v>0.200064911162741</v>
      </c>
    </row>
    <row r="60" spans="1:9" x14ac:dyDescent="0.3">
      <c r="A60" t="s">
        <v>66</v>
      </c>
      <c r="B60" s="5">
        <v>45552</v>
      </c>
      <c r="C60" t="s">
        <v>511</v>
      </c>
      <c r="D60" t="s">
        <v>516</v>
      </c>
      <c r="E60" t="s">
        <v>519</v>
      </c>
      <c r="F60">
        <v>6</v>
      </c>
      <c r="G60" s="2">
        <v>6692.63</v>
      </c>
      <c r="H60" s="2">
        <v>1053.3499999999999</v>
      </c>
      <c r="I60" s="4">
        <f t="shared" si="0"/>
        <v>0.15738954641150041</v>
      </c>
    </row>
    <row r="61" spans="1:9" x14ac:dyDescent="0.3">
      <c r="A61" t="s">
        <v>67</v>
      </c>
      <c r="B61" s="5">
        <v>45309</v>
      </c>
      <c r="C61" t="s">
        <v>512</v>
      </c>
      <c r="D61" t="s">
        <v>514</v>
      </c>
      <c r="E61" t="s">
        <v>517</v>
      </c>
      <c r="F61">
        <v>10</v>
      </c>
      <c r="G61" s="2">
        <v>2360.38</v>
      </c>
      <c r="H61" s="2">
        <v>202.62</v>
      </c>
      <c r="I61" s="4">
        <f t="shared" si="0"/>
        <v>8.5842110168701649E-2</v>
      </c>
    </row>
    <row r="62" spans="1:9" x14ac:dyDescent="0.3">
      <c r="A62" t="s">
        <v>68</v>
      </c>
      <c r="B62" s="5">
        <v>45527</v>
      </c>
      <c r="C62" t="s">
        <v>508</v>
      </c>
      <c r="D62" t="s">
        <v>514</v>
      </c>
      <c r="E62" t="s">
        <v>518</v>
      </c>
      <c r="F62">
        <v>4</v>
      </c>
      <c r="G62" s="2">
        <v>4707.8999999999996</v>
      </c>
      <c r="H62" s="2">
        <v>847.44</v>
      </c>
      <c r="I62" s="4">
        <f t="shared" si="0"/>
        <v>0.18000382336073412</v>
      </c>
    </row>
    <row r="63" spans="1:9" x14ac:dyDescent="0.3">
      <c r="A63" t="s">
        <v>69</v>
      </c>
      <c r="B63" s="5">
        <v>45505</v>
      </c>
      <c r="C63" t="s">
        <v>511</v>
      </c>
      <c r="D63" t="s">
        <v>513</v>
      </c>
      <c r="E63" t="s">
        <v>519</v>
      </c>
      <c r="F63">
        <v>6</v>
      </c>
      <c r="G63" s="2">
        <v>18914.91</v>
      </c>
      <c r="H63" s="2">
        <v>3635.67</v>
      </c>
      <c r="I63" s="4">
        <f t="shared" si="0"/>
        <v>0.19221185826419476</v>
      </c>
    </row>
    <row r="64" spans="1:9" x14ac:dyDescent="0.3">
      <c r="A64" t="s">
        <v>70</v>
      </c>
      <c r="B64" s="5">
        <v>45492</v>
      </c>
      <c r="C64" t="s">
        <v>512</v>
      </c>
      <c r="D64" t="s">
        <v>515</v>
      </c>
      <c r="E64" t="s">
        <v>519</v>
      </c>
      <c r="F64">
        <v>7</v>
      </c>
      <c r="G64" s="2">
        <v>19837.39</v>
      </c>
      <c r="H64" s="2">
        <v>4687.04</v>
      </c>
      <c r="I64" s="4">
        <f t="shared" si="0"/>
        <v>0.23627301777098703</v>
      </c>
    </row>
    <row r="65" spans="1:9" x14ac:dyDescent="0.3">
      <c r="A65" t="s">
        <v>71</v>
      </c>
      <c r="B65" s="5">
        <v>45520</v>
      </c>
      <c r="C65" t="s">
        <v>511</v>
      </c>
      <c r="D65" t="s">
        <v>514</v>
      </c>
      <c r="E65" t="s">
        <v>519</v>
      </c>
      <c r="F65">
        <v>1</v>
      </c>
      <c r="G65" s="2">
        <v>5912.09</v>
      </c>
      <c r="H65" s="2">
        <v>1029.8900000000001</v>
      </c>
      <c r="I65" s="4">
        <f t="shared" si="0"/>
        <v>0.17420066338638282</v>
      </c>
    </row>
    <row r="66" spans="1:9" x14ac:dyDescent="0.3">
      <c r="A66" t="s">
        <v>72</v>
      </c>
      <c r="B66" s="5">
        <v>45500</v>
      </c>
      <c r="C66" t="s">
        <v>511</v>
      </c>
      <c r="D66" t="s">
        <v>513</v>
      </c>
      <c r="E66" t="s">
        <v>519</v>
      </c>
      <c r="F66">
        <v>1</v>
      </c>
      <c r="G66" s="2">
        <v>4545.4399999999996</v>
      </c>
      <c r="H66" s="2">
        <v>717.73</v>
      </c>
      <c r="I66" s="4">
        <f t="shared" si="0"/>
        <v>0.15790110528353693</v>
      </c>
    </row>
    <row r="67" spans="1:9" x14ac:dyDescent="0.3">
      <c r="A67" t="s">
        <v>73</v>
      </c>
      <c r="B67" s="5">
        <v>45368</v>
      </c>
      <c r="C67" t="s">
        <v>510</v>
      </c>
      <c r="D67" t="s">
        <v>513</v>
      </c>
      <c r="E67" t="s">
        <v>518</v>
      </c>
      <c r="F67">
        <v>2</v>
      </c>
      <c r="G67" s="2">
        <v>3334.91</v>
      </c>
      <c r="H67" s="2">
        <v>676.08</v>
      </c>
      <c r="I67" s="4">
        <f t="shared" ref="I67:I130" si="1">H67/G67</f>
        <v>0.20272810960415724</v>
      </c>
    </row>
    <row r="68" spans="1:9" x14ac:dyDescent="0.3">
      <c r="A68" t="s">
        <v>74</v>
      </c>
      <c r="B68" s="5">
        <v>45343</v>
      </c>
      <c r="C68" t="s">
        <v>512</v>
      </c>
      <c r="D68" t="s">
        <v>513</v>
      </c>
      <c r="E68" t="s">
        <v>519</v>
      </c>
      <c r="F68">
        <v>7</v>
      </c>
      <c r="G68" s="2">
        <v>718.24</v>
      </c>
      <c r="H68" s="2">
        <v>64.48</v>
      </c>
      <c r="I68" s="4">
        <f t="shared" si="1"/>
        <v>8.9775005569169078E-2</v>
      </c>
    </row>
    <row r="69" spans="1:9" x14ac:dyDescent="0.3">
      <c r="A69" t="s">
        <v>75</v>
      </c>
      <c r="B69" s="5">
        <v>45561</v>
      </c>
      <c r="C69" t="s">
        <v>512</v>
      </c>
      <c r="D69" t="s">
        <v>516</v>
      </c>
      <c r="E69" t="s">
        <v>519</v>
      </c>
      <c r="F69">
        <v>9</v>
      </c>
      <c r="G69" s="2">
        <v>14589.25</v>
      </c>
      <c r="H69" s="2">
        <v>3401.57</v>
      </c>
      <c r="I69" s="4">
        <f t="shared" si="1"/>
        <v>0.2331559195983344</v>
      </c>
    </row>
    <row r="70" spans="1:9" x14ac:dyDescent="0.3">
      <c r="A70" t="s">
        <v>76</v>
      </c>
      <c r="B70" s="5">
        <v>45484</v>
      </c>
      <c r="C70" t="s">
        <v>511</v>
      </c>
      <c r="D70" t="s">
        <v>514</v>
      </c>
      <c r="E70" t="s">
        <v>518</v>
      </c>
      <c r="F70">
        <v>5</v>
      </c>
      <c r="G70" s="2">
        <v>14819.5</v>
      </c>
      <c r="H70" s="2">
        <v>1285.6300000000001</v>
      </c>
      <c r="I70" s="4">
        <f t="shared" si="1"/>
        <v>8.675258949357266E-2</v>
      </c>
    </row>
    <row r="71" spans="1:9" x14ac:dyDescent="0.3">
      <c r="A71" t="s">
        <v>77</v>
      </c>
      <c r="B71" s="5">
        <v>45481</v>
      </c>
      <c r="C71" t="s">
        <v>510</v>
      </c>
      <c r="D71" t="s">
        <v>514</v>
      </c>
      <c r="E71" t="s">
        <v>518</v>
      </c>
      <c r="F71">
        <v>9</v>
      </c>
      <c r="G71" s="2">
        <v>13459.88</v>
      </c>
      <c r="H71" s="2">
        <v>793.01</v>
      </c>
      <c r="I71" s="4">
        <f t="shared" si="1"/>
        <v>5.891657280748417E-2</v>
      </c>
    </row>
    <row r="72" spans="1:9" x14ac:dyDescent="0.3">
      <c r="A72" t="s">
        <v>78</v>
      </c>
      <c r="B72" s="5">
        <v>45630</v>
      </c>
      <c r="C72" t="s">
        <v>512</v>
      </c>
      <c r="D72" t="s">
        <v>516</v>
      </c>
      <c r="E72" t="s">
        <v>517</v>
      </c>
      <c r="F72">
        <v>4</v>
      </c>
      <c r="G72" s="2">
        <v>14301.01</v>
      </c>
      <c r="H72" s="2">
        <v>2767.78</v>
      </c>
      <c r="I72" s="4">
        <f t="shared" si="1"/>
        <v>0.19353737952773967</v>
      </c>
    </row>
    <row r="73" spans="1:9" x14ac:dyDescent="0.3">
      <c r="A73" t="s">
        <v>79</v>
      </c>
      <c r="B73" s="5">
        <v>45610</v>
      </c>
      <c r="C73" t="s">
        <v>509</v>
      </c>
      <c r="D73" t="s">
        <v>516</v>
      </c>
      <c r="E73" t="s">
        <v>517</v>
      </c>
      <c r="F73">
        <v>10</v>
      </c>
      <c r="G73" s="2">
        <v>13564.83</v>
      </c>
      <c r="H73" s="2">
        <v>1452.44</v>
      </c>
      <c r="I73" s="4">
        <f t="shared" si="1"/>
        <v>0.10707395522096481</v>
      </c>
    </row>
    <row r="74" spans="1:9" x14ac:dyDescent="0.3">
      <c r="A74" t="s">
        <v>80</v>
      </c>
      <c r="B74" s="5">
        <v>45558</v>
      </c>
      <c r="C74" t="s">
        <v>512</v>
      </c>
      <c r="D74" t="s">
        <v>516</v>
      </c>
      <c r="E74" t="s">
        <v>517</v>
      </c>
      <c r="F74">
        <v>8</v>
      </c>
      <c r="G74" s="2">
        <v>4522.63</v>
      </c>
      <c r="H74" s="2">
        <v>313.33999999999997</v>
      </c>
      <c r="I74" s="4">
        <f t="shared" si="1"/>
        <v>6.9282696130348931E-2</v>
      </c>
    </row>
    <row r="75" spans="1:9" x14ac:dyDescent="0.3">
      <c r="A75" t="s">
        <v>81</v>
      </c>
      <c r="B75" s="5">
        <v>45388</v>
      </c>
      <c r="C75" t="s">
        <v>509</v>
      </c>
      <c r="D75" t="s">
        <v>515</v>
      </c>
      <c r="E75" t="s">
        <v>518</v>
      </c>
      <c r="F75">
        <v>7</v>
      </c>
      <c r="G75" s="2">
        <v>9536.4699999999993</v>
      </c>
      <c r="H75" s="2">
        <v>1867.29</v>
      </c>
      <c r="I75" s="4">
        <f t="shared" si="1"/>
        <v>0.19580515641531931</v>
      </c>
    </row>
    <row r="76" spans="1:9" x14ac:dyDescent="0.3">
      <c r="A76" t="s">
        <v>82</v>
      </c>
      <c r="B76" s="5">
        <v>45639</v>
      </c>
      <c r="C76" t="s">
        <v>512</v>
      </c>
      <c r="D76" t="s">
        <v>513</v>
      </c>
      <c r="E76" t="s">
        <v>519</v>
      </c>
      <c r="F76">
        <v>9</v>
      </c>
      <c r="G76" s="2">
        <v>1027.1300000000001</v>
      </c>
      <c r="H76" s="2">
        <v>95.34</v>
      </c>
      <c r="I76" s="4">
        <f t="shared" si="1"/>
        <v>9.2821746030200644E-2</v>
      </c>
    </row>
    <row r="77" spans="1:9" x14ac:dyDescent="0.3">
      <c r="A77" t="s">
        <v>83</v>
      </c>
      <c r="B77" s="5">
        <v>45510</v>
      </c>
      <c r="C77" t="s">
        <v>511</v>
      </c>
      <c r="D77" t="s">
        <v>516</v>
      </c>
      <c r="E77" t="s">
        <v>517</v>
      </c>
      <c r="F77">
        <v>9</v>
      </c>
      <c r="G77" s="2">
        <v>3912.03</v>
      </c>
      <c r="H77" s="2">
        <v>937.77</v>
      </c>
      <c r="I77" s="4">
        <f t="shared" si="1"/>
        <v>0.23971441936794963</v>
      </c>
    </row>
    <row r="78" spans="1:9" x14ac:dyDescent="0.3">
      <c r="A78" t="s">
        <v>84</v>
      </c>
      <c r="B78" s="5">
        <v>45523</v>
      </c>
      <c r="C78" t="s">
        <v>508</v>
      </c>
      <c r="D78" t="s">
        <v>515</v>
      </c>
      <c r="E78" t="s">
        <v>517</v>
      </c>
      <c r="F78">
        <v>10</v>
      </c>
      <c r="G78" s="2">
        <v>7485.06</v>
      </c>
      <c r="H78" s="2">
        <v>1461.1</v>
      </c>
      <c r="I78" s="4">
        <f t="shared" si="1"/>
        <v>0.1952021760680609</v>
      </c>
    </row>
    <row r="79" spans="1:9" x14ac:dyDescent="0.3">
      <c r="A79" t="s">
        <v>85</v>
      </c>
      <c r="B79" s="5">
        <v>45510</v>
      </c>
      <c r="C79" t="s">
        <v>512</v>
      </c>
      <c r="D79" t="s">
        <v>513</v>
      </c>
      <c r="E79" t="s">
        <v>518</v>
      </c>
      <c r="F79">
        <v>6</v>
      </c>
      <c r="G79" s="2">
        <v>3500.96</v>
      </c>
      <c r="H79" s="2">
        <v>682.61</v>
      </c>
      <c r="I79" s="4">
        <f t="shared" si="1"/>
        <v>0.19497794890544309</v>
      </c>
    </row>
    <row r="80" spans="1:9" x14ac:dyDescent="0.3">
      <c r="A80" t="s">
        <v>86</v>
      </c>
      <c r="B80" s="5">
        <v>45427</v>
      </c>
      <c r="C80" t="s">
        <v>512</v>
      </c>
      <c r="D80" t="s">
        <v>516</v>
      </c>
      <c r="E80" t="s">
        <v>517</v>
      </c>
      <c r="F80">
        <v>8</v>
      </c>
      <c r="G80" s="2">
        <v>5235.04</v>
      </c>
      <c r="H80" s="2">
        <v>689.98</v>
      </c>
      <c r="I80" s="4">
        <f t="shared" si="1"/>
        <v>0.13180033008343775</v>
      </c>
    </row>
    <row r="81" spans="1:9" x14ac:dyDescent="0.3">
      <c r="A81" t="s">
        <v>87</v>
      </c>
      <c r="B81" s="5">
        <v>45303</v>
      </c>
      <c r="C81" t="s">
        <v>512</v>
      </c>
      <c r="D81" t="s">
        <v>514</v>
      </c>
      <c r="E81" t="s">
        <v>519</v>
      </c>
      <c r="F81">
        <v>7</v>
      </c>
      <c r="G81" s="2">
        <v>15776.21</v>
      </c>
      <c r="H81" s="2">
        <v>1531.22</v>
      </c>
      <c r="I81" s="4">
        <f t="shared" si="1"/>
        <v>9.7058799293366416E-2</v>
      </c>
    </row>
    <row r="82" spans="1:9" x14ac:dyDescent="0.3">
      <c r="A82" t="s">
        <v>88</v>
      </c>
      <c r="B82" s="5">
        <v>45592</v>
      </c>
      <c r="C82" t="s">
        <v>508</v>
      </c>
      <c r="D82" t="s">
        <v>516</v>
      </c>
      <c r="E82" t="s">
        <v>518</v>
      </c>
      <c r="F82">
        <v>7</v>
      </c>
      <c r="G82" s="2">
        <v>13977.67</v>
      </c>
      <c r="H82" s="2">
        <v>2851.5</v>
      </c>
      <c r="I82" s="4">
        <f t="shared" si="1"/>
        <v>0.20400395774116858</v>
      </c>
    </row>
    <row r="83" spans="1:9" x14ac:dyDescent="0.3">
      <c r="A83" t="s">
        <v>89</v>
      </c>
      <c r="B83" s="5">
        <v>45506</v>
      </c>
      <c r="C83" t="s">
        <v>509</v>
      </c>
      <c r="D83" t="s">
        <v>513</v>
      </c>
      <c r="E83" t="s">
        <v>517</v>
      </c>
      <c r="F83">
        <v>2</v>
      </c>
      <c r="G83" s="2">
        <v>11723.33</v>
      </c>
      <c r="H83" s="2">
        <v>2159.15</v>
      </c>
      <c r="I83" s="4">
        <f t="shared" si="1"/>
        <v>0.1841754859754012</v>
      </c>
    </row>
    <row r="84" spans="1:9" x14ac:dyDescent="0.3">
      <c r="A84" t="s">
        <v>90</v>
      </c>
      <c r="B84" s="5">
        <v>45341</v>
      </c>
      <c r="C84" t="s">
        <v>511</v>
      </c>
      <c r="D84" t="s">
        <v>516</v>
      </c>
      <c r="E84" t="s">
        <v>517</v>
      </c>
      <c r="F84">
        <v>7</v>
      </c>
      <c r="G84" s="2">
        <v>3916.57</v>
      </c>
      <c r="H84" s="2">
        <v>708.38</v>
      </c>
      <c r="I84" s="4">
        <f t="shared" si="1"/>
        <v>0.18086744268581947</v>
      </c>
    </row>
    <row r="85" spans="1:9" x14ac:dyDescent="0.3">
      <c r="A85" t="s">
        <v>91</v>
      </c>
      <c r="B85" s="5">
        <v>45606</v>
      </c>
      <c r="C85" t="s">
        <v>510</v>
      </c>
      <c r="D85" t="s">
        <v>513</v>
      </c>
      <c r="E85" t="s">
        <v>518</v>
      </c>
      <c r="F85">
        <v>9</v>
      </c>
      <c r="G85" s="2">
        <v>4815.4399999999996</v>
      </c>
      <c r="H85" s="2">
        <v>311.63</v>
      </c>
      <c r="I85" s="4">
        <f t="shared" si="1"/>
        <v>6.4714750884654365E-2</v>
      </c>
    </row>
    <row r="86" spans="1:9" x14ac:dyDescent="0.3">
      <c r="A86" t="s">
        <v>92</v>
      </c>
      <c r="B86" s="5">
        <v>45592</v>
      </c>
      <c r="C86" t="s">
        <v>510</v>
      </c>
      <c r="D86" t="s">
        <v>513</v>
      </c>
      <c r="E86" t="s">
        <v>519</v>
      </c>
      <c r="F86">
        <v>6</v>
      </c>
      <c r="G86" s="2">
        <v>4210.92</v>
      </c>
      <c r="H86" s="2">
        <v>526.91999999999996</v>
      </c>
      <c r="I86" s="4">
        <f t="shared" si="1"/>
        <v>0.12513180017668346</v>
      </c>
    </row>
    <row r="87" spans="1:9" x14ac:dyDescent="0.3">
      <c r="A87" t="s">
        <v>93</v>
      </c>
      <c r="B87" s="5">
        <v>45592</v>
      </c>
      <c r="C87" t="s">
        <v>512</v>
      </c>
      <c r="D87" t="s">
        <v>514</v>
      </c>
      <c r="E87" t="s">
        <v>517</v>
      </c>
      <c r="F87">
        <v>7</v>
      </c>
      <c r="G87" s="2">
        <v>4597.87</v>
      </c>
      <c r="H87" s="2">
        <v>276.17</v>
      </c>
      <c r="I87" s="4">
        <f t="shared" si="1"/>
        <v>6.0064769121354021E-2</v>
      </c>
    </row>
    <row r="88" spans="1:9" x14ac:dyDescent="0.3">
      <c r="A88" t="s">
        <v>94</v>
      </c>
      <c r="B88" s="5">
        <v>45431</v>
      </c>
      <c r="C88" t="s">
        <v>510</v>
      </c>
      <c r="D88" t="s">
        <v>514</v>
      </c>
      <c r="E88" t="s">
        <v>519</v>
      </c>
      <c r="F88">
        <v>2</v>
      </c>
      <c r="G88" s="2">
        <v>12591.92</v>
      </c>
      <c r="H88" s="2">
        <v>977.88</v>
      </c>
      <c r="I88" s="4">
        <f t="shared" si="1"/>
        <v>7.7659324392149884E-2</v>
      </c>
    </row>
    <row r="89" spans="1:9" x14ac:dyDescent="0.3">
      <c r="A89" t="s">
        <v>95</v>
      </c>
      <c r="B89" s="5">
        <v>45465</v>
      </c>
      <c r="C89" t="s">
        <v>508</v>
      </c>
      <c r="D89" t="s">
        <v>516</v>
      </c>
      <c r="E89" t="s">
        <v>519</v>
      </c>
      <c r="F89">
        <v>6</v>
      </c>
      <c r="G89" s="2">
        <v>5342.38</v>
      </c>
      <c r="H89" s="2">
        <v>446.31</v>
      </c>
      <c r="I89" s="4">
        <f t="shared" si="1"/>
        <v>8.3541417869938114E-2</v>
      </c>
    </row>
    <row r="90" spans="1:9" x14ac:dyDescent="0.3">
      <c r="A90" t="s">
        <v>96</v>
      </c>
      <c r="B90" s="5">
        <v>45639</v>
      </c>
      <c r="C90" t="s">
        <v>508</v>
      </c>
      <c r="D90" t="s">
        <v>514</v>
      </c>
      <c r="E90" t="s">
        <v>518</v>
      </c>
      <c r="F90">
        <v>3</v>
      </c>
      <c r="G90" s="2">
        <v>6431.28</v>
      </c>
      <c r="H90" s="2">
        <v>1417.94</v>
      </c>
      <c r="I90" s="4">
        <f t="shared" si="1"/>
        <v>0.22047555074573025</v>
      </c>
    </row>
    <row r="91" spans="1:9" x14ac:dyDescent="0.3">
      <c r="A91" t="s">
        <v>97</v>
      </c>
      <c r="B91" s="5">
        <v>45364</v>
      </c>
      <c r="C91" t="s">
        <v>510</v>
      </c>
      <c r="D91" t="s">
        <v>515</v>
      </c>
      <c r="E91" t="s">
        <v>519</v>
      </c>
      <c r="F91">
        <v>6</v>
      </c>
      <c r="G91" s="2">
        <v>11140.64</v>
      </c>
      <c r="H91" s="2">
        <v>2378.38</v>
      </c>
      <c r="I91" s="4">
        <f t="shared" si="1"/>
        <v>0.21348683738097635</v>
      </c>
    </row>
    <row r="92" spans="1:9" x14ac:dyDescent="0.3">
      <c r="A92" t="s">
        <v>98</v>
      </c>
      <c r="B92" s="5">
        <v>45650</v>
      </c>
      <c r="C92" t="s">
        <v>509</v>
      </c>
      <c r="D92" t="s">
        <v>515</v>
      </c>
      <c r="E92" t="s">
        <v>517</v>
      </c>
      <c r="F92">
        <v>6</v>
      </c>
      <c r="G92" s="2">
        <v>10348.64</v>
      </c>
      <c r="H92" s="2">
        <v>2374.65</v>
      </c>
      <c r="I92" s="4">
        <f t="shared" si="1"/>
        <v>0.22946493452279723</v>
      </c>
    </row>
    <row r="93" spans="1:9" x14ac:dyDescent="0.3">
      <c r="A93" t="s">
        <v>99</v>
      </c>
      <c r="B93" s="5">
        <v>45315</v>
      </c>
      <c r="C93" t="s">
        <v>510</v>
      </c>
      <c r="D93" t="s">
        <v>514</v>
      </c>
      <c r="E93" t="s">
        <v>518</v>
      </c>
      <c r="F93">
        <v>9</v>
      </c>
      <c r="G93" s="2">
        <v>11052.22</v>
      </c>
      <c r="H93" s="2">
        <v>2350.62</v>
      </c>
      <c r="I93" s="4">
        <f t="shared" si="1"/>
        <v>0.2126830627692898</v>
      </c>
    </row>
    <row r="94" spans="1:9" x14ac:dyDescent="0.3">
      <c r="A94" t="s">
        <v>100</v>
      </c>
      <c r="B94" s="5">
        <v>45622</v>
      </c>
      <c r="C94" t="s">
        <v>510</v>
      </c>
      <c r="D94" t="s">
        <v>513</v>
      </c>
      <c r="E94" t="s">
        <v>518</v>
      </c>
      <c r="F94">
        <v>9</v>
      </c>
      <c r="G94" s="2">
        <v>16508.37</v>
      </c>
      <c r="H94" s="2">
        <v>1655.16</v>
      </c>
      <c r="I94" s="4">
        <f t="shared" si="1"/>
        <v>0.1002618671619306</v>
      </c>
    </row>
    <row r="95" spans="1:9" x14ac:dyDescent="0.3">
      <c r="A95" t="s">
        <v>101</v>
      </c>
      <c r="B95" s="5">
        <v>45464</v>
      </c>
      <c r="C95" t="s">
        <v>509</v>
      </c>
      <c r="D95" t="s">
        <v>516</v>
      </c>
      <c r="E95" t="s">
        <v>518</v>
      </c>
      <c r="F95">
        <v>7</v>
      </c>
      <c r="G95" s="2">
        <v>6931.07</v>
      </c>
      <c r="H95" s="2">
        <v>1469.39</v>
      </c>
      <c r="I95" s="4">
        <f t="shared" si="1"/>
        <v>0.21200045591806174</v>
      </c>
    </row>
    <row r="96" spans="1:9" x14ac:dyDescent="0.3">
      <c r="A96" t="s">
        <v>102</v>
      </c>
      <c r="B96" s="5">
        <v>45396</v>
      </c>
      <c r="C96" t="s">
        <v>510</v>
      </c>
      <c r="D96" t="s">
        <v>515</v>
      </c>
      <c r="E96" t="s">
        <v>519</v>
      </c>
      <c r="F96">
        <v>9</v>
      </c>
      <c r="G96" s="2">
        <v>15747.3</v>
      </c>
      <c r="H96" s="2">
        <v>3189.22</v>
      </c>
      <c r="I96" s="4">
        <f t="shared" si="1"/>
        <v>0.20252487728054969</v>
      </c>
    </row>
    <row r="97" spans="1:9" x14ac:dyDescent="0.3">
      <c r="A97" t="s">
        <v>103</v>
      </c>
      <c r="B97" s="5">
        <v>45559</v>
      </c>
      <c r="C97" t="s">
        <v>510</v>
      </c>
      <c r="D97" t="s">
        <v>514</v>
      </c>
      <c r="E97" t="s">
        <v>517</v>
      </c>
      <c r="F97">
        <v>9</v>
      </c>
      <c r="G97" s="2">
        <v>14420.85</v>
      </c>
      <c r="H97" s="2">
        <v>983.94</v>
      </c>
      <c r="I97" s="4">
        <f t="shared" si="1"/>
        <v>6.8230374769864474E-2</v>
      </c>
    </row>
    <row r="98" spans="1:9" x14ac:dyDescent="0.3">
      <c r="A98" t="s">
        <v>104</v>
      </c>
      <c r="B98" s="5">
        <v>45495</v>
      </c>
      <c r="C98" t="s">
        <v>512</v>
      </c>
      <c r="D98" t="s">
        <v>515</v>
      </c>
      <c r="E98" t="s">
        <v>519</v>
      </c>
      <c r="F98">
        <v>6</v>
      </c>
      <c r="G98" s="2">
        <v>963.71</v>
      </c>
      <c r="H98" s="2">
        <v>193.35</v>
      </c>
      <c r="I98" s="4">
        <f t="shared" si="1"/>
        <v>0.20063089518631122</v>
      </c>
    </row>
    <row r="99" spans="1:9" x14ac:dyDescent="0.3">
      <c r="A99" t="s">
        <v>105</v>
      </c>
      <c r="B99" s="5">
        <v>45611</v>
      </c>
      <c r="C99" t="s">
        <v>509</v>
      </c>
      <c r="D99" t="s">
        <v>514</v>
      </c>
      <c r="E99" t="s">
        <v>519</v>
      </c>
      <c r="F99">
        <v>7</v>
      </c>
      <c r="G99" s="2">
        <v>9240.3799999999992</v>
      </c>
      <c r="H99" s="2">
        <v>1725.61</v>
      </c>
      <c r="I99" s="4">
        <f t="shared" si="1"/>
        <v>0.18674664894733767</v>
      </c>
    </row>
    <row r="100" spans="1:9" x14ac:dyDescent="0.3">
      <c r="A100" t="s">
        <v>106</v>
      </c>
      <c r="B100" s="5">
        <v>45493</v>
      </c>
      <c r="C100" t="s">
        <v>511</v>
      </c>
      <c r="D100" t="s">
        <v>513</v>
      </c>
      <c r="E100" t="s">
        <v>517</v>
      </c>
      <c r="F100">
        <v>7</v>
      </c>
      <c r="G100" s="2">
        <v>11783.5</v>
      </c>
      <c r="H100" s="2">
        <v>2250.6999999999998</v>
      </c>
      <c r="I100" s="4">
        <f t="shared" si="1"/>
        <v>0.19100437051809732</v>
      </c>
    </row>
    <row r="101" spans="1:9" x14ac:dyDescent="0.3">
      <c r="A101" t="s">
        <v>107</v>
      </c>
      <c r="B101" s="5">
        <v>45621</v>
      </c>
      <c r="C101" t="s">
        <v>510</v>
      </c>
      <c r="D101" t="s">
        <v>516</v>
      </c>
      <c r="E101" t="s">
        <v>517</v>
      </c>
      <c r="F101">
        <v>7</v>
      </c>
      <c r="G101" s="2">
        <v>9066.68</v>
      </c>
      <c r="H101" s="2">
        <v>778.33</v>
      </c>
      <c r="I101" s="4">
        <f t="shared" si="1"/>
        <v>8.5845094345449499E-2</v>
      </c>
    </row>
    <row r="102" spans="1:9" x14ac:dyDescent="0.3">
      <c r="A102" t="s">
        <v>108</v>
      </c>
      <c r="B102" s="5">
        <v>45578</v>
      </c>
      <c r="C102" t="s">
        <v>512</v>
      </c>
      <c r="D102" t="s">
        <v>515</v>
      </c>
      <c r="E102" t="s">
        <v>519</v>
      </c>
      <c r="F102">
        <v>4</v>
      </c>
      <c r="G102" s="2">
        <v>5385.25</v>
      </c>
      <c r="H102" s="2">
        <v>841.77</v>
      </c>
      <c r="I102" s="4">
        <f t="shared" si="1"/>
        <v>0.15631029200129984</v>
      </c>
    </row>
    <row r="103" spans="1:9" x14ac:dyDescent="0.3">
      <c r="A103" t="s">
        <v>109</v>
      </c>
      <c r="B103" s="5">
        <v>45438</v>
      </c>
      <c r="C103" t="s">
        <v>508</v>
      </c>
      <c r="D103" t="s">
        <v>515</v>
      </c>
      <c r="E103" t="s">
        <v>519</v>
      </c>
      <c r="F103">
        <v>5</v>
      </c>
      <c r="G103" s="2">
        <v>12433.49</v>
      </c>
      <c r="H103" s="2">
        <v>2489.5100000000002</v>
      </c>
      <c r="I103" s="4">
        <f t="shared" si="1"/>
        <v>0.20022616337005944</v>
      </c>
    </row>
    <row r="104" spans="1:9" x14ac:dyDescent="0.3">
      <c r="A104" t="s">
        <v>110</v>
      </c>
      <c r="B104" s="5">
        <v>45399</v>
      </c>
      <c r="C104" t="s">
        <v>510</v>
      </c>
      <c r="D104" t="s">
        <v>515</v>
      </c>
      <c r="E104" t="s">
        <v>519</v>
      </c>
      <c r="F104">
        <v>10</v>
      </c>
      <c r="G104" s="2">
        <v>4832.75</v>
      </c>
      <c r="H104" s="2">
        <v>647.71</v>
      </c>
      <c r="I104" s="4">
        <f t="shared" si="1"/>
        <v>0.13402514096528892</v>
      </c>
    </row>
    <row r="105" spans="1:9" x14ac:dyDescent="0.3">
      <c r="A105" t="s">
        <v>111</v>
      </c>
      <c r="B105" s="5">
        <v>45579</v>
      </c>
      <c r="C105" t="s">
        <v>511</v>
      </c>
      <c r="D105" t="s">
        <v>516</v>
      </c>
      <c r="E105" t="s">
        <v>519</v>
      </c>
      <c r="F105">
        <v>8</v>
      </c>
      <c r="G105" s="2">
        <v>16184.1</v>
      </c>
      <c r="H105" s="2">
        <v>1638.94</v>
      </c>
      <c r="I105" s="4">
        <f t="shared" si="1"/>
        <v>0.10126852898832805</v>
      </c>
    </row>
    <row r="106" spans="1:9" x14ac:dyDescent="0.3">
      <c r="A106" t="s">
        <v>112</v>
      </c>
      <c r="B106" s="5">
        <v>45299</v>
      </c>
      <c r="C106" t="s">
        <v>512</v>
      </c>
      <c r="D106" t="s">
        <v>514</v>
      </c>
      <c r="E106" t="s">
        <v>517</v>
      </c>
      <c r="F106">
        <v>3</v>
      </c>
      <c r="G106" s="2">
        <v>10089.049999999999</v>
      </c>
      <c r="H106" s="2">
        <v>1904.63</v>
      </c>
      <c r="I106" s="4">
        <f t="shared" si="1"/>
        <v>0.18878189720538607</v>
      </c>
    </row>
    <row r="107" spans="1:9" x14ac:dyDescent="0.3">
      <c r="A107" t="s">
        <v>113</v>
      </c>
      <c r="B107" s="5">
        <v>45482</v>
      </c>
      <c r="C107" t="s">
        <v>511</v>
      </c>
      <c r="D107" t="s">
        <v>513</v>
      </c>
      <c r="E107" t="s">
        <v>519</v>
      </c>
      <c r="F107">
        <v>6</v>
      </c>
      <c r="G107" s="2">
        <v>10554.03</v>
      </c>
      <c r="H107" s="2">
        <v>601.37</v>
      </c>
      <c r="I107" s="4">
        <f t="shared" si="1"/>
        <v>5.698012986508471E-2</v>
      </c>
    </row>
    <row r="108" spans="1:9" x14ac:dyDescent="0.3">
      <c r="A108" t="s">
        <v>114</v>
      </c>
      <c r="B108" s="5">
        <v>45581</v>
      </c>
      <c r="C108" t="s">
        <v>511</v>
      </c>
      <c r="D108" t="s">
        <v>514</v>
      </c>
      <c r="E108" t="s">
        <v>517</v>
      </c>
      <c r="F108">
        <v>10</v>
      </c>
      <c r="G108" s="2">
        <v>3722.21</v>
      </c>
      <c r="H108" s="2">
        <v>570.04999999999995</v>
      </c>
      <c r="I108" s="4">
        <f t="shared" si="1"/>
        <v>0.15314826406892679</v>
      </c>
    </row>
    <row r="109" spans="1:9" x14ac:dyDescent="0.3">
      <c r="A109" t="s">
        <v>115</v>
      </c>
      <c r="B109" s="5">
        <v>45529</v>
      </c>
      <c r="C109" t="s">
        <v>512</v>
      </c>
      <c r="D109" t="s">
        <v>513</v>
      </c>
      <c r="E109" t="s">
        <v>517</v>
      </c>
      <c r="F109">
        <v>2</v>
      </c>
      <c r="G109" s="2">
        <v>10632.89</v>
      </c>
      <c r="H109" s="2">
        <v>833.39</v>
      </c>
      <c r="I109" s="4">
        <f t="shared" si="1"/>
        <v>7.8378502928178509E-2</v>
      </c>
    </row>
    <row r="110" spans="1:9" x14ac:dyDescent="0.3">
      <c r="A110" t="s">
        <v>116</v>
      </c>
      <c r="B110" s="5">
        <v>45490</v>
      </c>
      <c r="C110" t="s">
        <v>509</v>
      </c>
      <c r="D110" t="s">
        <v>514</v>
      </c>
      <c r="E110" t="s">
        <v>517</v>
      </c>
      <c r="F110">
        <v>9</v>
      </c>
      <c r="G110" s="2">
        <v>19410.310000000001</v>
      </c>
      <c r="H110" s="2">
        <v>3885.93</v>
      </c>
      <c r="I110" s="4">
        <f t="shared" si="1"/>
        <v>0.20019927553964875</v>
      </c>
    </row>
    <row r="111" spans="1:9" x14ac:dyDescent="0.3">
      <c r="A111" t="s">
        <v>117</v>
      </c>
      <c r="B111" s="5">
        <v>45580</v>
      </c>
      <c r="C111" t="s">
        <v>508</v>
      </c>
      <c r="D111" t="s">
        <v>513</v>
      </c>
      <c r="E111" t="s">
        <v>517</v>
      </c>
      <c r="F111">
        <v>3</v>
      </c>
      <c r="G111" s="2">
        <v>3860.2</v>
      </c>
      <c r="H111" s="2">
        <v>827.57</v>
      </c>
      <c r="I111" s="4">
        <f t="shared" si="1"/>
        <v>0.21438526501217556</v>
      </c>
    </row>
    <row r="112" spans="1:9" x14ac:dyDescent="0.3">
      <c r="A112" t="s">
        <v>118</v>
      </c>
      <c r="B112" s="5">
        <v>45550</v>
      </c>
      <c r="C112" t="s">
        <v>509</v>
      </c>
      <c r="D112" t="s">
        <v>515</v>
      </c>
      <c r="E112" t="s">
        <v>519</v>
      </c>
      <c r="F112">
        <v>2</v>
      </c>
      <c r="G112" s="2">
        <v>12063.42</v>
      </c>
      <c r="H112" s="2">
        <v>2500.23</v>
      </c>
      <c r="I112" s="4">
        <f t="shared" si="1"/>
        <v>0.20725714598347733</v>
      </c>
    </row>
    <row r="113" spans="1:9" x14ac:dyDescent="0.3">
      <c r="A113" t="s">
        <v>119</v>
      </c>
      <c r="B113" s="5">
        <v>45369</v>
      </c>
      <c r="C113" t="s">
        <v>511</v>
      </c>
      <c r="D113" t="s">
        <v>516</v>
      </c>
      <c r="E113" t="s">
        <v>517</v>
      </c>
      <c r="F113">
        <v>1</v>
      </c>
      <c r="G113" s="2">
        <v>9050.2999999999993</v>
      </c>
      <c r="H113" s="2">
        <v>650.97</v>
      </c>
      <c r="I113" s="4">
        <f t="shared" si="1"/>
        <v>7.1928002386661222E-2</v>
      </c>
    </row>
    <row r="114" spans="1:9" x14ac:dyDescent="0.3">
      <c r="A114" t="s">
        <v>120</v>
      </c>
      <c r="B114" s="5">
        <v>45549</v>
      </c>
      <c r="C114" t="s">
        <v>508</v>
      </c>
      <c r="D114" t="s">
        <v>516</v>
      </c>
      <c r="E114" t="s">
        <v>518</v>
      </c>
      <c r="F114">
        <v>7</v>
      </c>
      <c r="G114" s="2">
        <v>19324.490000000002</v>
      </c>
      <c r="H114" s="2">
        <v>1866.13</v>
      </c>
      <c r="I114" s="4">
        <f t="shared" si="1"/>
        <v>9.6568137115132138E-2</v>
      </c>
    </row>
    <row r="115" spans="1:9" x14ac:dyDescent="0.3">
      <c r="A115" t="s">
        <v>121</v>
      </c>
      <c r="B115" s="5">
        <v>45540</v>
      </c>
      <c r="C115" t="s">
        <v>508</v>
      </c>
      <c r="D115" t="s">
        <v>513</v>
      </c>
      <c r="E115" t="s">
        <v>519</v>
      </c>
      <c r="F115">
        <v>6</v>
      </c>
      <c r="G115" s="2">
        <v>3155.89</v>
      </c>
      <c r="H115" s="2">
        <v>515.04</v>
      </c>
      <c r="I115" s="4">
        <f t="shared" si="1"/>
        <v>0.16319960454895449</v>
      </c>
    </row>
    <row r="116" spans="1:9" x14ac:dyDescent="0.3">
      <c r="A116" t="s">
        <v>122</v>
      </c>
      <c r="B116" s="5">
        <v>45406</v>
      </c>
      <c r="C116" t="s">
        <v>511</v>
      </c>
      <c r="D116" t="s">
        <v>514</v>
      </c>
      <c r="E116" t="s">
        <v>519</v>
      </c>
      <c r="F116">
        <v>7</v>
      </c>
      <c r="G116" s="2">
        <v>15973.86</v>
      </c>
      <c r="H116" s="2">
        <v>2529.89</v>
      </c>
      <c r="I116" s="4">
        <f t="shared" si="1"/>
        <v>0.15837687321661764</v>
      </c>
    </row>
    <row r="117" spans="1:9" x14ac:dyDescent="0.3">
      <c r="A117" t="s">
        <v>123</v>
      </c>
      <c r="B117" s="5">
        <v>45401</v>
      </c>
      <c r="C117" t="s">
        <v>510</v>
      </c>
      <c r="D117" t="s">
        <v>513</v>
      </c>
      <c r="E117" t="s">
        <v>517</v>
      </c>
      <c r="F117">
        <v>9</v>
      </c>
      <c r="G117" s="2">
        <v>18883.939999999999</v>
      </c>
      <c r="H117" s="2">
        <v>1099.96</v>
      </c>
      <c r="I117" s="4">
        <f t="shared" si="1"/>
        <v>5.8248437561229285E-2</v>
      </c>
    </row>
    <row r="118" spans="1:9" x14ac:dyDescent="0.3">
      <c r="A118" t="s">
        <v>124</v>
      </c>
      <c r="B118" s="5">
        <v>45549</v>
      </c>
      <c r="C118" t="s">
        <v>509</v>
      </c>
      <c r="D118" t="s">
        <v>516</v>
      </c>
      <c r="E118" t="s">
        <v>519</v>
      </c>
      <c r="F118">
        <v>3</v>
      </c>
      <c r="G118" s="2">
        <v>3554.22</v>
      </c>
      <c r="H118" s="2">
        <v>423.76</v>
      </c>
      <c r="I118" s="4">
        <f t="shared" si="1"/>
        <v>0.11922728474883379</v>
      </c>
    </row>
    <row r="119" spans="1:9" x14ac:dyDescent="0.3">
      <c r="A119" t="s">
        <v>125</v>
      </c>
      <c r="B119" s="5">
        <v>45417</v>
      </c>
      <c r="C119" t="s">
        <v>508</v>
      </c>
      <c r="D119" t="s">
        <v>515</v>
      </c>
      <c r="E119" t="s">
        <v>519</v>
      </c>
      <c r="F119">
        <v>8</v>
      </c>
      <c r="G119" s="2">
        <v>12169.92</v>
      </c>
      <c r="H119" s="2">
        <v>1020.35</v>
      </c>
      <c r="I119" s="4">
        <f t="shared" si="1"/>
        <v>8.3841964450053902E-2</v>
      </c>
    </row>
    <row r="120" spans="1:9" x14ac:dyDescent="0.3">
      <c r="A120" t="s">
        <v>126</v>
      </c>
      <c r="B120" s="5">
        <v>45612</v>
      </c>
      <c r="C120" t="s">
        <v>509</v>
      </c>
      <c r="D120" t="s">
        <v>513</v>
      </c>
      <c r="E120" t="s">
        <v>517</v>
      </c>
      <c r="F120">
        <v>6</v>
      </c>
      <c r="G120" s="2">
        <v>8804.77</v>
      </c>
      <c r="H120" s="2">
        <v>479.89</v>
      </c>
      <c r="I120" s="4">
        <f t="shared" si="1"/>
        <v>5.4503411219145981E-2</v>
      </c>
    </row>
    <row r="121" spans="1:9" x14ac:dyDescent="0.3">
      <c r="A121" t="s">
        <v>127</v>
      </c>
      <c r="B121" s="5">
        <v>45304</v>
      </c>
      <c r="C121" t="s">
        <v>509</v>
      </c>
      <c r="D121" t="s">
        <v>514</v>
      </c>
      <c r="E121" t="s">
        <v>519</v>
      </c>
      <c r="F121">
        <v>9</v>
      </c>
      <c r="G121" s="2">
        <v>5488.55</v>
      </c>
      <c r="H121" s="2">
        <v>573.85</v>
      </c>
      <c r="I121" s="4">
        <f t="shared" si="1"/>
        <v>0.10455402610889944</v>
      </c>
    </row>
    <row r="122" spans="1:9" x14ac:dyDescent="0.3">
      <c r="A122" t="s">
        <v>128</v>
      </c>
      <c r="B122" s="5">
        <v>45653</v>
      </c>
      <c r="C122" t="s">
        <v>508</v>
      </c>
      <c r="D122" t="s">
        <v>515</v>
      </c>
      <c r="E122" t="s">
        <v>518</v>
      </c>
      <c r="F122">
        <v>6</v>
      </c>
      <c r="G122" s="2">
        <v>3905.98</v>
      </c>
      <c r="H122" s="2">
        <v>243.87</v>
      </c>
      <c r="I122" s="4">
        <f t="shared" si="1"/>
        <v>6.243503550965443E-2</v>
      </c>
    </row>
    <row r="123" spans="1:9" x14ac:dyDescent="0.3">
      <c r="A123" t="s">
        <v>129</v>
      </c>
      <c r="B123" s="5">
        <v>45608</v>
      </c>
      <c r="C123" t="s">
        <v>510</v>
      </c>
      <c r="D123" t="s">
        <v>513</v>
      </c>
      <c r="E123" t="s">
        <v>518</v>
      </c>
      <c r="F123">
        <v>4</v>
      </c>
      <c r="G123" s="2">
        <v>16346.67</v>
      </c>
      <c r="H123" s="2">
        <v>2449.8000000000002</v>
      </c>
      <c r="I123" s="4">
        <f t="shared" si="1"/>
        <v>0.14986538542712369</v>
      </c>
    </row>
    <row r="124" spans="1:9" x14ac:dyDescent="0.3">
      <c r="A124" t="s">
        <v>130</v>
      </c>
      <c r="B124" s="5">
        <v>45454</v>
      </c>
      <c r="C124" t="s">
        <v>510</v>
      </c>
      <c r="D124" t="s">
        <v>514</v>
      </c>
      <c r="E124" t="s">
        <v>518</v>
      </c>
      <c r="F124">
        <v>9</v>
      </c>
      <c r="G124" s="2">
        <v>19690.36</v>
      </c>
      <c r="H124" s="2">
        <v>1805.7</v>
      </c>
      <c r="I124" s="4">
        <f t="shared" si="1"/>
        <v>9.170477330023423E-2</v>
      </c>
    </row>
    <row r="125" spans="1:9" x14ac:dyDescent="0.3">
      <c r="A125" t="s">
        <v>131</v>
      </c>
      <c r="B125" s="5">
        <v>45537</v>
      </c>
      <c r="C125" t="s">
        <v>512</v>
      </c>
      <c r="D125" t="s">
        <v>514</v>
      </c>
      <c r="E125" t="s">
        <v>518</v>
      </c>
      <c r="F125">
        <v>4</v>
      </c>
      <c r="G125" s="2">
        <v>18651.3</v>
      </c>
      <c r="H125" s="2">
        <v>2428.94</v>
      </c>
      <c r="I125" s="4">
        <f t="shared" si="1"/>
        <v>0.13022899208098096</v>
      </c>
    </row>
    <row r="126" spans="1:9" x14ac:dyDescent="0.3">
      <c r="A126" t="s">
        <v>132</v>
      </c>
      <c r="B126" s="5">
        <v>45488</v>
      </c>
      <c r="C126" t="s">
        <v>512</v>
      </c>
      <c r="D126" t="s">
        <v>515</v>
      </c>
      <c r="E126" t="s">
        <v>518</v>
      </c>
      <c r="F126">
        <v>1</v>
      </c>
      <c r="G126" s="2">
        <v>2958.09</v>
      </c>
      <c r="H126" s="2">
        <v>257.18</v>
      </c>
      <c r="I126" s="4">
        <f t="shared" si="1"/>
        <v>8.6941235729812147E-2</v>
      </c>
    </row>
    <row r="127" spans="1:9" x14ac:dyDescent="0.3">
      <c r="A127" t="s">
        <v>133</v>
      </c>
      <c r="B127" s="5">
        <v>45530</v>
      </c>
      <c r="C127" t="s">
        <v>511</v>
      </c>
      <c r="D127" t="s">
        <v>515</v>
      </c>
      <c r="E127" t="s">
        <v>519</v>
      </c>
      <c r="F127">
        <v>3</v>
      </c>
      <c r="G127" s="2">
        <v>10175.799999999999</v>
      </c>
      <c r="H127" s="2">
        <v>2047.79</v>
      </c>
      <c r="I127" s="4">
        <f t="shared" si="1"/>
        <v>0.20124118005463945</v>
      </c>
    </row>
    <row r="128" spans="1:9" x14ac:dyDescent="0.3">
      <c r="A128" t="s">
        <v>134</v>
      </c>
      <c r="B128" s="5">
        <v>45398</v>
      </c>
      <c r="C128" t="s">
        <v>508</v>
      </c>
      <c r="D128" t="s">
        <v>514</v>
      </c>
      <c r="E128" t="s">
        <v>519</v>
      </c>
      <c r="F128">
        <v>2</v>
      </c>
      <c r="G128" s="2">
        <v>19038.400000000001</v>
      </c>
      <c r="H128" s="2">
        <v>2950.58</v>
      </c>
      <c r="I128" s="4">
        <f t="shared" si="1"/>
        <v>0.15498046054290274</v>
      </c>
    </row>
    <row r="129" spans="1:9" x14ac:dyDescent="0.3">
      <c r="A129" t="s">
        <v>135</v>
      </c>
      <c r="B129" s="5">
        <v>45301</v>
      </c>
      <c r="C129" t="s">
        <v>511</v>
      </c>
      <c r="D129" t="s">
        <v>513</v>
      </c>
      <c r="E129" t="s">
        <v>519</v>
      </c>
      <c r="F129">
        <v>5</v>
      </c>
      <c r="G129" s="2">
        <v>14305.9</v>
      </c>
      <c r="H129" s="2">
        <v>2089.79</v>
      </c>
      <c r="I129" s="4">
        <f t="shared" si="1"/>
        <v>0.14607889052768439</v>
      </c>
    </row>
    <row r="130" spans="1:9" x14ac:dyDescent="0.3">
      <c r="A130" t="s">
        <v>136</v>
      </c>
      <c r="B130" s="5">
        <v>45635</v>
      </c>
      <c r="C130" t="s">
        <v>511</v>
      </c>
      <c r="D130" t="s">
        <v>515</v>
      </c>
      <c r="E130" t="s">
        <v>518</v>
      </c>
      <c r="F130">
        <v>7</v>
      </c>
      <c r="G130" s="2">
        <v>13956.79</v>
      </c>
      <c r="H130" s="2">
        <v>1065.9000000000001</v>
      </c>
      <c r="I130" s="4">
        <f t="shared" si="1"/>
        <v>7.6371429246983008E-2</v>
      </c>
    </row>
    <row r="131" spans="1:9" x14ac:dyDescent="0.3">
      <c r="A131" t="s">
        <v>137</v>
      </c>
      <c r="B131" s="5">
        <v>45340</v>
      </c>
      <c r="C131" t="s">
        <v>509</v>
      </c>
      <c r="D131" t="s">
        <v>515</v>
      </c>
      <c r="E131" t="s">
        <v>518</v>
      </c>
      <c r="F131">
        <v>6</v>
      </c>
      <c r="G131" s="2">
        <v>1271.0899999999999</v>
      </c>
      <c r="H131" s="2">
        <v>199.36</v>
      </c>
      <c r="I131" s="4">
        <f t="shared" ref="I131:I194" si="2">H131/G131</f>
        <v>0.15684176572862663</v>
      </c>
    </row>
    <row r="132" spans="1:9" x14ac:dyDescent="0.3">
      <c r="A132" t="s">
        <v>138</v>
      </c>
      <c r="B132" s="5">
        <v>45366</v>
      </c>
      <c r="C132" t="s">
        <v>511</v>
      </c>
      <c r="D132" t="s">
        <v>515</v>
      </c>
      <c r="E132" t="s">
        <v>519</v>
      </c>
      <c r="F132">
        <v>1</v>
      </c>
      <c r="G132" s="2">
        <v>7912.65</v>
      </c>
      <c r="H132" s="2">
        <v>1254.82</v>
      </c>
      <c r="I132" s="4">
        <f t="shared" si="2"/>
        <v>0.1585840394810841</v>
      </c>
    </row>
    <row r="133" spans="1:9" x14ac:dyDescent="0.3">
      <c r="A133" t="s">
        <v>139</v>
      </c>
      <c r="B133" s="5">
        <v>45445</v>
      </c>
      <c r="C133" t="s">
        <v>508</v>
      </c>
      <c r="D133" t="s">
        <v>513</v>
      </c>
      <c r="E133" t="s">
        <v>518</v>
      </c>
      <c r="F133">
        <v>3</v>
      </c>
      <c r="G133" s="2">
        <v>2437.52</v>
      </c>
      <c r="H133" s="2">
        <v>335.77</v>
      </c>
      <c r="I133" s="4">
        <f t="shared" si="2"/>
        <v>0.13775066460993141</v>
      </c>
    </row>
    <row r="134" spans="1:9" x14ac:dyDescent="0.3">
      <c r="A134" t="s">
        <v>140</v>
      </c>
      <c r="B134" s="5">
        <v>45637</v>
      </c>
      <c r="C134" t="s">
        <v>510</v>
      </c>
      <c r="D134" t="s">
        <v>513</v>
      </c>
      <c r="E134" t="s">
        <v>517</v>
      </c>
      <c r="F134">
        <v>4</v>
      </c>
      <c r="G134" s="2">
        <v>15731.59</v>
      </c>
      <c r="H134" s="2">
        <v>3196.37</v>
      </c>
      <c r="I134" s="4">
        <f t="shared" si="2"/>
        <v>0.20318162372652732</v>
      </c>
    </row>
    <row r="135" spans="1:9" x14ac:dyDescent="0.3">
      <c r="A135" t="s">
        <v>141</v>
      </c>
      <c r="B135" s="5">
        <v>45408</v>
      </c>
      <c r="C135" t="s">
        <v>510</v>
      </c>
      <c r="D135" t="s">
        <v>514</v>
      </c>
      <c r="E135" t="s">
        <v>517</v>
      </c>
      <c r="F135">
        <v>8</v>
      </c>
      <c r="G135" s="2">
        <v>2613</v>
      </c>
      <c r="H135" s="2">
        <v>191.84</v>
      </c>
      <c r="I135" s="4">
        <f t="shared" si="2"/>
        <v>7.341752774588596E-2</v>
      </c>
    </row>
    <row r="136" spans="1:9" x14ac:dyDescent="0.3">
      <c r="A136" t="s">
        <v>142</v>
      </c>
      <c r="B136" s="5">
        <v>45406</v>
      </c>
      <c r="C136" t="s">
        <v>511</v>
      </c>
      <c r="D136" t="s">
        <v>514</v>
      </c>
      <c r="E136" t="s">
        <v>517</v>
      </c>
      <c r="F136">
        <v>4</v>
      </c>
      <c r="G136" s="2">
        <v>13973.67</v>
      </c>
      <c r="H136" s="2">
        <v>3129.69</v>
      </c>
      <c r="I136" s="4">
        <f t="shared" si="2"/>
        <v>0.22397051025249631</v>
      </c>
    </row>
    <row r="137" spans="1:9" x14ac:dyDescent="0.3">
      <c r="A137" t="s">
        <v>143</v>
      </c>
      <c r="B137" s="5">
        <v>45364</v>
      </c>
      <c r="C137" t="s">
        <v>511</v>
      </c>
      <c r="D137" t="s">
        <v>516</v>
      </c>
      <c r="E137" t="s">
        <v>519</v>
      </c>
      <c r="F137">
        <v>7</v>
      </c>
      <c r="G137" s="2">
        <v>9195.3700000000008</v>
      </c>
      <c r="H137" s="2">
        <v>1803.11</v>
      </c>
      <c r="I137" s="4">
        <f t="shared" si="2"/>
        <v>0.19608890126226566</v>
      </c>
    </row>
    <row r="138" spans="1:9" x14ac:dyDescent="0.3">
      <c r="A138" t="s">
        <v>144</v>
      </c>
      <c r="B138" s="5">
        <v>45619</v>
      </c>
      <c r="C138" t="s">
        <v>512</v>
      </c>
      <c r="D138" t="s">
        <v>515</v>
      </c>
      <c r="E138" t="s">
        <v>517</v>
      </c>
      <c r="F138">
        <v>10</v>
      </c>
      <c r="G138" s="2">
        <v>6488.02</v>
      </c>
      <c r="H138" s="2">
        <v>914.65</v>
      </c>
      <c r="I138" s="4">
        <f t="shared" si="2"/>
        <v>0.14097521277677935</v>
      </c>
    </row>
    <row r="139" spans="1:9" x14ac:dyDescent="0.3">
      <c r="A139" t="s">
        <v>145</v>
      </c>
      <c r="B139" s="5">
        <v>45318</v>
      </c>
      <c r="C139" t="s">
        <v>509</v>
      </c>
      <c r="D139" t="s">
        <v>513</v>
      </c>
      <c r="E139" t="s">
        <v>519</v>
      </c>
      <c r="F139">
        <v>3</v>
      </c>
      <c r="G139" s="2">
        <v>4059.37</v>
      </c>
      <c r="H139" s="2">
        <v>981.86</v>
      </c>
      <c r="I139" s="4">
        <f t="shared" si="2"/>
        <v>0.24187497074669223</v>
      </c>
    </row>
    <row r="140" spans="1:9" x14ac:dyDescent="0.3">
      <c r="A140" t="s">
        <v>146</v>
      </c>
      <c r="B140" s="5">
        <v>45612</v>
      </c>
      <c r="C140" t="s">
        <v>509</v>
      </c>
      <c r="D140" t="s">
        <v>515</v>
      </c>
      <c r="E140" t="s">
        <v>519</v>
      </c>
      <c r="F140">
        <v>7</v>
      </c>
      <c r="G140" s="2">
        <v>10452.9</v>
      </c>
      <c r="H140" s="2">
        <v>2533.81</v>
      </c>
      <c r="I140" s="4">
        <f t="shared" si="2"/>
        <v>0.24240258684192903</v>
      </c>
    </row>
    <row r="141" spans="1:9" x14ac:dyDescent="0.3">
      <c r="A141" t="s">
        <v>147</v>
      </c>
      <c r="B141" s="5">
        <v>45306</v>
      </c>
      <c r="C141" t="s">
        <v>512</v>
      </c>
      <c r="D141" t="s">
        <v>514</v>
      </c>
      <c r="E141" t="s">
        <v>519</v>
      </c>
      <c r="F141">
        <v>2</v>
      </c>
      <c r="G141" s="2">
        <v>7900.61</v>
      </c>
      <c r="H141" s="2">
        <v>1856.09</v>
      </c>
      <c r="I141" s="4">
        <f t="shared" si="2"/>
        <v>0.23492996110426917</v>
      </c>
    </row>
    <row r="142" spans="1:9" x14ac:dyDescent="0.3">
      <c r="A142" t="s">
        <v>148</v>
      </c>
      <c r="B142" s="5">
        <v>45555</v>
      </c>
      <c r="C142" t="s">
        <v>509</v>
      </c>
      <c r="D142" t="s">
        <v>514</v>
      </c>
      <c r="E142" t="s">
        <v>517</v>
      </c>
      <c r="F142">
        <v>8</v>
      </c>
      <c r="G142" s="2">
        <v>9472.16</v>
      </c>
      <c r="H142" s="2">
        <v>802.09</v>
      </c>
      <c r="I142" s="4">
        <f t="shared" si="2"/>
        <v>8.4678679414199085E-2</v>
      </c>
    </row>
    <row r="143" spans="1:9" x14ac:dyDescent="0.3">
      <c r="A143" t="s">
        <v>149</v>
      </c>
      <c r="B143" s="5">
        <v>45383</v>
      </c>
      <c r="C143" t="s">
        <v>508</v>
      </c>
      <c r="D143" t="s">
        <v>516</v>
      </c>
      <c r="E143" t="s">
        <v>518</v>
      </c>
      <c r="F143">
        <v>6</v>
      </c>
      <c r="G143" s="2">
        <v>12599.33</v>
      </c>
      <c r="H143" s="2">
        <v>2901.23</v>
      </c>
      <c r="I143" s="4">
        <f t="shared" si="2"/>
        <v>0.23026859364743998</v>
      </c>
    </row>
    <row r="144" spans="1:9" x14ac:dyDescent="0.3">
      <c r="A144" t="s">
        <v>150</v>
      </c>
      <c r="B144" s="5">
        <v>45425</v>
      </c>
      <c r="C144" t="s">
        <v>511</v>
      </c>
      <c r="D144" t="s">
        <v>513</v>
      </c>
      <c r="E144" t="s">
        <v>517</v>
      </c>
      <c r="F144">
        <v>3</v>
      </c>
      <c r="G144" s="2">
        <v>2062.31</v>
      </c>
      <c r="H144" s="2">
        <v>418.43</v>
      </c>
      <c r="I144" s="4">
        <f t="shared" si="2"/>
        <v>0.20289384234183999</v>
      </c>
    </row>
    <row r="145" spans="1:9" x14ac:dyDescent="0.3">
      <c r="A145" t="s">
        <v>151</v>
      </c>
      <c r="B145" s="5">
        <v>45587</v>
      </c>
      <c r="C145" t="s">
        <v>509</v>
      </c>
      <c r="D145" t="s">
        <v>514</v>
      </c>
      <c r="E145" t="s">
        <v>517</v>
      </c>
      <c r="F145">
        <v>2</v>
      </c>
      <c r="G145" s="2">
        <v>10266.83</v>
      </c>
      <c r="H145" s="2">
        <v>2093.86</v>
      </c>
      <c r="I145" s="4">
        <f t="shared" si="2"/>
        <v>0.20394415803125213</v>
      </c>
    </row>
    <row r="146" spans="1:9" x14ac:dyDescent="0.3">
      <c r="A146" t="s">
        <v>152</v>
      </c>
      <c r="B146" s="5">
        <v>45460</v>
      </c>
      <c r="C146" t="s">
        <v>511</v>
      </c>
      <c r="D146" t="s">
        <v>516</v>
      </c>
      <c r="E146" t="s">
        <v>518</v>
      </c>
      <c r="F146">
        <v>7</v>
      </c>
      <c r="G146" s="2">
        <v>6136.41</v>
      </c>
      <c r="H146" s="2">
        <v>723.28</v>
      </c>
      <c r="I146" s="4">
        <f t="shared" si="2"/>
        <v>0.11786696130147757</v>
      </c>
    </row>
    <row r="147" spans="1:9" x14ac:dyDescent="0.3">
      <c r="A147" t="s">
        <v>153</v>
      </c>
      <c r="B147" s="5">
        <v>45319</v>
      </c>
      <c r="C147" t="s">
        <v>509</v>
      </c>
      <c r="D147" t="s">
        <v>516</v>
      </c>
      <c r="E147" t="s">
        <v>519</v>
      </c>
      <c r="F147">
        <v>7</v>
      </c>
      <c r="G147" s="2">
        <v>5721.01</v>
      </c>
      <c r="H147" s="2">
        <v>342.18</v>
      </c>
      <c r="I147" s="4">
        <f t="shared" si="2"/>
        <v>5.9811117267755169E-2</v>
      </c>
    </row>
    <row r="148" spans="1:9" x14ac:dyDescent="0.3">
      <c r="A148" t="s">
        <v>154</v>
      </c>
      <c r="B148" s="5">
        <v>45600</v>
      </c>
      <c r="C148" t="s">
        <v>512</v>
      </c>
      <c r="D148" t="s">
        <v>515</v>
      </c>
      <c r="E148" t="s">
        <v>519</v>
      </c>
      <c r="F148">
        <v>5</v>
      </c>
      <c r="G148" s="2">
        <v>15675.78</v>
      </c>
      <c r="H148" s="2">
        <v>2291.9499999999998</v>
      </c>
      <c r="I148" s="4">
        <f t="shared" si="2"/>
        <v>0.14620963039797699</v>
      </c>
    </row>
    <row r="149" spans="1:9" x14ac:dyDescent="0.3">
      <c r="A149" t="s">
        <v>155</v>
      </c>
      <c r="B149" s="5">
        <v>45419</v>
      </c>
      <c r="C149" t="s">
        <v>509</v>
      </c>
      <c r="D149" t="s">
        <v>513</v>
      </c>
      <c r="E149" t="s">
        <v>517</v>
      </c>
      <c r="F149">
        <v>2</v>
      </c>
      <c r="G149" s="2">
        <v>16655.52</v>
      </c>
      <c r="H149" s="2">
        <v>2424.88</v>
      </c>
      <c r="I149" s="4">
        <f t="shared" si="2"/>
        <v>0.14559017070616828</v>
      </c>
    </row>
    <row r="150" spans="1:9" x14ac:dyDescent="0.3">
      <c r="A150" t="s">
        <v>156</v>
      </c>
      <c r="B150" s="5">
        <v>45585</v>
      </c>
      <c r="C150" t="s">
        <v>510</v>
      </c>
      <c r="D150" t="s">
        <v>514</v>
      </c>
      <c r="E150" t="s">
        <v>517</v>
      </c>
      <c r="F150">
        <v>3</v>
      </c>
      <c r="G150" s="2">
        <v>16170</v>
      </c>
      <c r="H150" s="2">
        <v>2422.85</v>
      </c>
      <c r="I150" s="4">
        <f t="shared" si="2"/>
        <v>0.14983611626468768</v>
      </c>
    </row>
    <row r="151" spans="1:9" x14ac:dyDescent="0.3">
      <c r="A151" t="s">
        <v>157</v>
      </c>
      <c r="B151" s="5">
        <v>45520</v>
      </c>
      <c r="C151" t="s">
        <v>511</v>
      </c>
      <c r="D151" t="s">
        <v>515</v>
      </c>
      <c r="E151" t="s">
        <v>518</v>
      </c>
      <c r="F151">
        <v>5</v>
      </c>
      <c r="G151" s="2">
        <v>11787.42</v>
      </c>
      <c r="H151" s="2">
        <v>2394.15</v>
      </c>
      <c r="I151" s="4">
        <f t="shared" si="2"/>
        <v>0.20311060435616954</v>
      </c>
    </row>
    <row r="152" spans="1:9" x14ac:dyDescent="0.3">
      <c r="A152" t="s">
        <v>158</v>
      </c>
      <c r="B152" s="5">
        <v>45627</v>
      </c>
      <c r="C152" t="s">
        <v>508</v>
      </c>
      <c r="D152" t="s">
        <v>513</v>
      </c>
      <c r="E152" t="s">
        <v>519</v>
      </c>
      <c r="F152">
        <v>5</v>
      </c>
      <c r="G152" s="2">
        <v>19818.89</v>
      </c>
      <c r="H152" s="2">
        <v>2309.58</v>
      </c>
      <c r="I152" s="4">
        <f t="shared" si="2"/>
        <v>0.1165342761375637</v>
      </c>
    </row>
    <row r="153" spans="1:9" x14ac:dyDescent="0.3">
      <c r="A153" t="s">
        <v>159</v>
      </c>
      <c r="B153" s="5">
        <v>45478</v>
      </c>
      <c r="C153" t="s">
        <v>508</v>
      </c>
      <c r="D153" t="s">
        <v>513</v>
      </c>
      <c r="E153" t="s">
        <v>517</v>
      </c>
      <c r="F153">
        <v>6</v>
      </c>
      <c r="G153" s="2">
        <v>19166.740000000002</v>
      </c>
      <c r="H153" s="2">
        <v>2287.54</v>
      </c>
      <c r="I153" s="4">
        <f t="shared" si="2"/>
        <v>0.11934945640207983</v>
      </c>
    </row>
    <row r="154" spans="1:9" x14ac:dyDescent="0.3">
      <c r="A154" t="s">
        <v>160</v>
      </c>
      <c r="B154" s="5">
        <v>45538</v>
      </c>
      <c r="C154" t="s">
        <v>510</v>
      </c>
      <c r="D154" t="s">
        <v>516</v>
      </c>
      <c r="E154" t="s">
        <v>519</v>
      </c>
      <c r="F154">
        <v>7</v>
      </c>
      <c r="G154" s="2">
        <v>4338.09</v>
      </c>
      <c r="H154" s="2">
        <v>616.51</v>
      </c>
      <c r="I154" s="4">
        <f t="shared" si="2"/>
        <v>0.14211553932721543</v>
      </c>
    </row>
    <row r="155" spans="1:9" x14ac:dyDescent="0.3">
      <c r="A155" t="s">
        <v>161</v>
      </c>
      <c r="B155" s="5">
        <v>45515</v>
      </c>
      <c r="C155" t="s">
        <v>509</v>
      </c>
      <c r="D155" t="s">
        <v>516</v>
      </c>
      <c r="E155" t="s">
        <v>518</v>
      </c>
      <c r="F155">
        <v>4</v>
      </c>
      <c r="G155" s="2">
        <v>17918.45</v>
      </c>
      <c r="H155" s="2">
        <v>3514.53</v>
      </c>
      <c r="I155" s="4">
        <f t="shared" si="2"/>
        <v>0.19614029115241552</v>
      </c>
    </row>
    <row r="156" spans="1:9" x14ac:dyDescent="0.3">
      <c r="A156" t="s">
        <v>162</v>
      </c>
      <c r="B156" s="5">
        <v>45509</v>
      </c>
      <c r="C156" t="s">
        <v>508</v>
      </c>
      <c r="D156" t="s">
        <v>515</v>
      </c>
      <c r="E156" t="s">
        <v>519</v>
      </c>
      <c r="F156">
        <v>5</v>
      </c>
      <c r="G156" s="2">
        <v>16507.310000000001</v>
      </c>
      <c r="H156" s="2">
        <v>2124.42</v>
      </c>
      <c r="I156" s="4">
        <f t="shared" si="2"/>
        <v>0.12869571117280768</v>
      </c>
    </row>
    <row r="157" spans="1:9" x14ac:dyDescent="0.3">
      <c r="A157" t="s">
        <v>163</v>
      </c>
      <c r="B157" s="5">
        <v>45348</v>
      </c>
      <c r="C157" t="s">
        <v>509</v>
      </c>
      <c r="D157" t="s">
        <v>515</v>
      </c>
      <c r="E157" t="s">
        <v>517</v>
      </c>
      <c r="F157">
        <v>9</v>
      </c>
      <c r="G157" s="2">
        <v>18091.7</v>
      </c>
      <c r="H157" s="2">
        <v>1880.07</v>
      </c>
      <c r="I157" s="4">
        <f t="shared" si="2"/>
        <v>0.10391892414753726</v>
      </c>
    </row>
    <row r="158" spans="1:9" x14ac:dyDescent="0.3">
      <c r="A158" t="s">
        <v>164</v>
      </c>
      <c r="B158" s="5">
        <v>45601</v>
      </c>
      <c r="C158" t="s">
        <v>512</v>
      </c>
      <c r="D158" t="s">
        <v>513</v>
      </c>
      <c r="E158" t="s">
        <v>518</v>
      </c>
      <c r="F158">
        <v>4</v>
      </c>
      <c r="G158" s="2">
        <v>19800.240000000002</v>
      </c>
      <c r="H158" s="2">
        <v>1547.32</v>
      </c>
      <c r="I158" s="4">
        <f t="shared" si="2"/>
        <v>7.8146527516838177E-2</v>
      </c>
    </row>
    <row r="159" spans="1:9" x14ac:dyDescent="0.3">
      <c r="A159" t="s">
        <v>165</v>
      </c>
      <c r="B159" s="5">
        <v>45337</v>
      </c>
      <c r="C159" t="s">
        <v>511</v>
      </c>
      <c r="D159" t="s">
        <v>513</v>
      </c>
      <c r="E159" t="s">
        <v>518</v>
      </c>
      <c r="F159">
        <v>4</v>
      </c>
      <c r="G159" s="2">
        <v>12358.16</v>
      </c>
      <c r="H159" s="2">
        <v>1003.34</v>
      </c>
      <c r="I159" s="4">
        <f t="shared" si="2"/>
        <v>8.1188461712746879E-2</v>
      </c>
    </row>
    <row r="160" spans="1:9" x14ac:dyDescent="0.3">
      <c r="A160" t="s">
        <v>166</v>
      </c>
      <c r="B160" s="5">
        <v>45432</v>
      </c>
      <c r="C160" t="s">
        <v>511</v>
      </c>
      <c r="D160" t="s">
        <v>514</v>
      </c>
      <c r="E160" t="s">
        <v>517</v>
      </c>
      <c r="F160">
        <v>10</v>
      </c>
      <c r="G160" s="2">
        <v>13957.79</v>
      </c>
      <c r="H160" s="2">
        <v>2232.61</v>
      </c>
      <c r="I160" s="4">
        <f t="shared" si="2"/>
        <v>0.15995440538939187</v>
      </c>
    </row>
    <row r="161" spans="1:9" x14ac:dyDescent="0.3">
      <c r="A161" t="s">
        <v>167</v>
      </c>
      <c r="B161" s="5">
        <v>45457</v>
      </c>
      <c r="C161" t="s">
        <v>509</v>
      </c>
      <c r="D161" t="s">
        <v>514</v>
      </c>
      <c r="E161" t="s">
        <v>519</v>
      </c>
      <c r="F161">
        <v>5</v>
      </c>
      <c r="G161" s="2">
        <v>4624.92</v>
      </c>
      <c r="H161" s="2">
        <v>237.59</v>
      </c>
      <c r="I161" s="4">
        <f t="shared" si="2"/>
        <v>5.1371699402368041E-2</v>
      </c>
    </row>
    <row r="162" spans="1:9" x14ac:dyDescent="0.3">
      <c r="A162" t="s">
        <v>168</v>
      </c>
      <c r="B162" s="5">
        <v>45515</v>
      </c>
      <c r="C162" t="s">
        <v>510</v>
      </c>
      <c r="D162" t="s">
        <v>515</v>
      </c>
      <c r="E162" t="s">
        <v>517</v>
      </c>
      <c r="F162">
        <v>2</v>
      </c>
      <c r="G162" s="2">
        <v>18275.919999999998</v>
      </c>
      <c r="H162" s="2">
        <v>4080.74</v>
      </c>
      <c r="I162" s="4">
        <f t="shared" si="2"/>
        <v>0.22328506581337629</v>
      </c>
    </row>
    <row r="163" spans="1:9" x14ac:dyDescent="0.3">
      <c r="A163" t="s">
        <v>169</v>
      </c>
      <c r="B163" s="5">
        <v>45426</v>
      </c>
      <c r="C163" t="s">
        <v>510</v>
      </c>
      <c r="D163" t="s">
        <v>513</v>
      </c>
      <c r="E163" t="s">
        <v>519</v>
      </c>
      <c r="F163">
        <v>1</v>
      </c>
      <c r="G163" s="2">
        <v>15338.56</v>
      </c>
      <c r="H163" s="2">
        <v>2341.3200000000002</v>
      </c>
      <c r="I163" s="4">
        <f t="shared" si="2"/>
        <v>0.15264275134041266</v>
      </c>
    </row>
    <row r="164" spans="1:9" x14ac:dyDescent="0.3">
      <c r="A164" t="s">
        <v>170</v>
      </c>
      <c r="B164" s="5">
        <v>45422</v>
      </c>
      <c r="C164" t="s">
        <v>509</v>
      </c>
      <c r="D164" t="s">
        <v>513</v>
      </c>
      <c r="E164" t="s">
        <v>518</v>
      </c>
      <c r="F164">
        <v>3</v>
      </c>
      <c r="G164" s="2">
        <v>19086.11</v>
      </c>
      <c r="H164" s="2">
        <v>996.7</v>
      </c>
      <c r="I164" s="4">
        <f t="shared" si="2"/>
        <v>5.22212226587817E-2</v>
      </c>
    </row>
    <row r="165" spans="1:9" x14ac:dyDescent="0.3">
      <c r="A165" t="s">
        <v>171</v>
      </c>
      <c r="B165" s="5">
        <v>45377</v>
      </c>
      <c r="C165" t="s">
        <v>512</v>
      </c>
      <c r="D165" t="s">
        <v>513</v>
      </c>
      <c r="E165" t="s">
        <v>517</v>
      </c>
      <c r="F165">
        <v>4</v>
      </c>
      <c r="G165" s="2">
        <v>14437.93</v>
      </c>
      <c r="H165" s="2">
        <v>1746.21</v>
      </c>
      <c r="I165" s="4">
        <f t="shared" si="2"/>
        <v>0.1209460081881544</v>
      </c>
    </row>
    <row r="166" spans="1:9" x14ac:dyDescent="0.3">
      <c r="A166" t="s">
        <v>172</v>
      </c>
      <c r="B166" s="5">
        <v>45358</v>
      </c>
      <c r="C166" t="s">
        <v>510</v>
      </c>
      <c r="D166" t="s">
        <v>514</v>
      </c>
      <c r="E166" t="s">
        <v>519</v>
      </c>
      <c r="F166">
        <v>7</v>
      </c>
      <c r="G166" s="2">
        <v>17396.12</v>
      </c>
      <c r="H166" s="2">
        <v>1513.28</v>
      </c>
      <c r="I166" s="4">
        <f t="shared" si="2"/>
        <v>8.698951260395997E-2</v>
      </c>
    </row>
    <row r="167" spans="1:9" x14ac:dyDescent="0.3">
      <c r="A167" t="s">
        <v>173</v>
      </c>
      <c r="B167" s="5">
        <v>45639</v>
      </c>
      <c r="C167" t="s">
        <v>508</v>
      </c>
      <c r="D167" t="s">
        <v>516</v>
      </c>
      <c r="E167" t="s">
        <v>517</v>
      </c>
      <c r="F167">
        <v>5</v>
      </c>
      <c r="G167" s="2">
        <v>3723.76</v>
      </c>
      <c r="H167" s="2">
        <v>437.19</v>
      </c>
      <c r="I167" s="4">
        <f t="shared" si="2"/>
        <v>0.11740552559778288</v>
      </c>
    </row>
    <row r="168" spans="1:9" x14ac:dyDescent="0.3">
      <c r="A168" t="s">
        <v>174</v>
      </c>
      <c r="B168" s="5">
        <v>45295</v>
      </c>
      <c r="C168" t="s">
        <v>510</v>
      </c>
      <c r="D168" t="s">
        <v>516</v>
      </c>
      <c r="E168" t="s">
        <v>518</v>
      </c>
      <c r="F168">
        <v>1</v>
      </c>
      <c r="G168" s="2">
        <v>15683.59</v>
      </c>
      <c r="H168" s="2">
        <v>1322.85</v>
      </c>
      <c r="I168" s="4">
        <f t="shared" si="2"/>
        <v>8.4346122284502459E-2</v>
      </c>
    </row>
    <row r="169" spans="1:9" x14ac:dyDescent="0.3">
      <c r="A169" t="s">
        <v>175</v>
      </c>
      <c r="B169" s="5">
        <v>45385</v>
      </c>
      <c r="C169" t="s">
        <v>510</v>
      </c>
      <c r="D169" t="s">
        <v>516</v>
      </c>
      <c r="E169" t="s">
        <v>517</v>
      </c>
      <c r="F169">
        <v>8</v>
      </c>
      <c r="G169" s="2">
        <v>14322.69</v>
      </c>
      <c r="H169" s="2">
        <v>857.46</v>
      </c>
      <c r="I169" s="4">
        <f t="shared" si="2"/>
        <v>5.9867245608192315E-2</v>
      </c>
    </row>
    <row r="170" spans="1:9" x14ac:dyDescent="0.3">
      <c r="A170" t="s">
        <v>176</v>
      </c>
      <c r="B170" s="5">
        <v>45547</v>
      </c>
      <c r="C170" t="s">
        <v>511</v>
      </c>
      <c r="D170" t="s">
        <v>513</v>
      </c>
      <c r="E170" t="s">
        <v>519</v>
      </c>
      <c r="F170">
        <v>8</v>
      </c>
      <c r="G170" s="2">
        <v>2994.71</v>
      </c>
      <c r="H170" s="2">
        <v>355.39</v>
      </c>
      <c r="I170" s="4">
        <f t="shared" si="2"/>
        <v>0.1186725926717445</v>
      </c>
    </row>
    <row r="171" spans="1:9" x14ac:dyDescent="0.3">
      <c r="A171" t="s">
        <v>177</v>
      </c>
      <c r="B171" s="5">
        <v>45307</v>
      </c>
      <c r="C171" t="s">
        <v>510</v>
      </c>
      <c r="D171" t="s">
        <v>516</v>
      </c>
      <c r="E171" t="s">
        <v>519</v>
      </c>
      <c r="F171">
        <v>4</v>
      </c>
      <c r="G171" s="2">
        <v>15441.88</v>
      </c>
      <c r="H171" s="2">
        <v>2432.7399999999998</v>
      </c>
      <c r="I171" s="4">
        <f t="shared" si="2"/>
        <v>0.15754169829062264</v>
      </c>
    </row>
    <row r="172" spans="1:9" x14ac:dyDescent="0.3">
      <c r="A172" t="s">
        <v>178</v>
      </c>
      <c r="B172" s="5">
        <v>45647</v>
      </c>
      <c r="C172" t="s">
        <v>509</v>
      </c>
      <c r="D172" t="s">
        <v>513</v>
      </c>
      <c r="E172" t="s">
        <v>519</v>
      </c>
      <c r="F172">
        <v>5</v>
      </c>
      <c r="G172" s="2">
        <v>1266.5</v>
      </c>
      <c r="H172" s="2">
        <v>85.54</v>
      </c>
      <c r="I172" s="4">
        <f t="shared" si="2"/>
        <v>6.7540465850769837E-2</v>
      </c>
    </row>
    <row r="173" spans="1:9" x14ac:dyDescent="0.3">
      <c r="A173" t="s">
        <v>179</v>
      </c>
      <c r="B173" s="5">
        <v>45582</v>
      </c>
      <c r="C173" t="s">
        <v>509</v>
      </c>
      <c r="D173" t="s">
        <v>515</v>
      </c>
      <c r="E173" t="s">
        <v>519</v>
      </c>
      <c r="F173">
        <v>2</v>
      </c>
      <c r="G173" s="2">
        <v>15647.08</v>
      </c>
      <c r="H173" s="2">
        <v>3629.26</v>
      </c>
      <c r="I173" s="4">
        <f t="shared" si="2"/>
        <v>0.23194487405956896</v>
      </c>
    </row>
    <row r="174" spans="1:9" x14ac:dyDescent="0.3">
      <c r="A174" t="s">
        <v>180</v>
      </c>
      <c r="B174" s="5">
        <v>45560</v>
      </c>
      <c r="C174" t="s">
        <v>510</v>
      </c>
      <c r="D174" t="s">
        <v>516</v>
      </c>
      <c r="E174" t="s">
        <v>518</v>
      </c>
      <c r="F174">
        <v>3</v>
      </c>
      <c r="G174" s="2">
        <v>15356.04</v>
      </c>
      <c r="H174" s="2">
        <v>2692.01</v>
      </c>
      <c r="I174" s="4">
        <f t="shared" si="2"/>
        <v>0.17530626385448334</v>
      </c>
    </row>
    <row r="175" spans="1:9" x14ac:dyDescent="0.3">
      <c r="A175" t="s">
        <v>181</v>
      </c>
      <c r="B175" s="5">
        <v>45488</v>
      </c>
      <c r="C175" t="s">
        <v>512</v>
      </c>
      <c r="D175" t="s">
        <v>514</v>
      </c>
      <c r="E175" t="s">
        <v>517</v>
      </c>
      <c r="F175">
        <v>4</v>
      </c>
      <c r="G175" s="2">
        <v>10251.26</v>
      </c>
      <c r="H175" s="2">
        <v>1808.34</v>
      </c>
      <c r="I175" s="4">
        <f t="shared" si="2"/>
        <v>0.17640173012878416</v>
      </c>
    </row>
    <row r="176" spans="1:9" x14ac:dyDescent="0.3">
      <c r="A176" t="s">
        <v>182</v>
      </c>
      <c r="B176" s="5">
        <v>45323</v>
      </c>
      <c r="C176" t="s">
        <v>512</v>
      </c>
      <c r="D176" t="s">
        <v>514</v>
      </c>
      <c r="E176" t="s">
        <v>518</v>
      </c>
      <c r="F176">
        <v>6</v>
      </c>
      <c r="G176" s="2">
        <v>7331.06</v>
      </c>
      <c r="H176" s="2">
        <v>1715.93</v>
      </c>
      <c r="I176" s="4">
        <f t="shared" si="2"/>
        <v>0.23406301407981928</v>
      </c>
    </row>
    <row r="177" spans="1:9" x14ac:dyDescent="0.3">
      <c r="A177" t="s">
        <v>183</v>
      </c>
      <c r="B177" s="5">
        <v>45610</v>
      </c>
      <c r="C177" t="s">
        <v>509</v>
      </c>
      <c r="D177" t="s">
        <v>513</v>
      </c>
      <c r="E177" t="s">
        <v>518</v>
      </c>
      <c r="F177">
        <v>2</v>
      </c>
      <c r="G177" s="2">
        <v>5437.74</v>
      </c>
      <c r="H177" s="2">
        <v>1189.29</v>
      </c>
      <c r="I177" s="4">
        <f t="shared" si="2"/>
        <v>0.21871034657780622</v>
      </c>
    </row>
    <row r="178" spans="1:9" x14ac:dyDescent="0.3">
      <c r="A178" t="s">
        <v>184</v>
      </c>
      <c r="B178" s="5">
        <v>45556</v>
      </c>
      <c r="C178" t="s">
        <v>508</v>
      </c>
      <c r="D178" t="s">
        <v>513</v>
      </c>
      <c r="E178" t="s">
        <v>519</v>
      </c>
      <c r="F178">
        <v>8</v>
      </c>
      <c r="G178" s="2">
        <v>10722.2</v>
      </c>
      <c r="H178" s="2">
        <v>649.41</v>
      </c>
      <c r="I178" s="4">
        <f t="shared" si="2"/>
        <v>6.0566861278468963E-2</v>
      </c>
    </row>
    <row r="179" spans="1:9" x14ac:dyDescent="0.3">
      <c r="A179" t="s">
        <v>185</v>
      </c>
      <c r="B179" s="5">
        <v>45494</v>
      </c>
      <c r="C179" t="s">
        <v>508</v>
      </c>
      <c r="D179" t="s">
        <v>513</v>
      </c>
      <c r="E179" t="s">
        <v>519</v>
      </c>
      <c r="F179">
        <v>1</v>
      </c>
      <c r="G179" s="2">
        <v>9701.82</v>
      </c>
      <c r="H179" s="2">
        <v>1362.9</v>
      </c>
      <c r="I179" s="4">
        <f t="shared" si="2"/>
        <v>0.14047879676184469</v>
      </c>
    </row>
    <row r="180" spans="1:9" x14ac:dyDescent="0.3">
      <c r="A180" t="s">
        <v>186</v>
      </c>
      <c r="B180" s="5">
        <v>45556</v>
      </c>
      <c r="C180" t="s">
        <v>510</v>
      </c>
      <c r="D180" t="s">
        <v>515</v>
      </c>
      <c r="E180" t="s">
        <v>518</v>
      </c>
      <c r="F180">
        <v>3</v>
      </c>
      <c r="G180" s="2">
        <v>6387.66</v>
      </c>
      <c r="H180" s="2">
        <v>845.59</v>
      </c>
      <c r="I180" s="4">
        <f t="shared" si="2"/>
        <v>0.13237868014265006</v>
      </c>
    </row>
    <row r="181" spans="1:9" x14ac:dyDescent="0.3">
      <c r="A181" t="s">
        <v>187</v>
      </c>
      <c r="B181" s="5">
        <v>45416</v>
      </c>
      <c r="C181" t="s">
        <v>508</v>
      </c>
      <c r="D181" t="s">
        <v>513</v>
      </c>
      <c r="E181" t="s">
        <v>519</v>
      </c>
      <c r="F181">
        <v>5</v>
      </c>
      <c r="G181" s="2">
        <v>1392.39</v>
      </c>
      <c r="H181" s="2">
        <v>128.51</v>
      </c>
      <c r="I181" s="4">
        <f t="shared" si="2"/>
        <v>9.2294543913702329E-2</v>
      </c>
    </row>
    <row r="182" spans="1:9" x14ac:dyDescent="0.3">
      <c r="A182" t="s">
        <v>188</v>
      </c>
      <c r="B182" s="5">
        <v>45653</v>
      </c>
      <c r="C182" t="s">
        <v>508</v>
      </c>
      <c r="D182" t="s">
        <v>514</v>
      </c>
      <c r="E182" t="s">
        <v>518</v>
      </c>
      <c r="F182">
        <v>8</v>
      </c>
      <c r="G182" s="2">
        <v>5963.1</v>
      </c>
      <c r="H182" s="2">
        <v>869.2</v>
      </c>
      <c r="I182" s="4">
        <f t="shared" si="2"/>
        <v>0.14576310979188678</v>
      </c>
    </row>
    <row r="183" spans="1:9" x14ac:dyDescent="0.3">
      <c r="A183" t="s">
        <v>189</v>
      </c>
      <c r="B183" s="5">
        <v>45359</v>
      </c>
      <c r="C183" t="s">
        <v>509</v>
      </c>
      <c r="D183" t="s">
        <v>515</v>
      </c>
      <c r="E183" t="s">
        <v>517</v>
      </c>
      <c r="F183">
        <v>9</v>
      </c>
      <c r="G183" s="2">
        <v>10614.5</v>
      </c>
      <c r="H183" s="2">
        <v>1399.32</v>
      </c>
      <c r="I183" s="4">
        <f t="shared" si="2"/>
        <v>0.13183098591549294</v>
      </c>
    </row>
    <row r="184" spans="1:9" x14ac:dyDescent="0.3">
      <c r="A184" t="s">
        <v>190</v>
      </c>
      <c r="B184" s="5">
        <v>45571</v>
      </c>
      <c r="C184" t="s">
        <v>510</v>
      </c>
      <c r="D184" t="s">
        <v>514</v>
      </c>
      <c r="E184" t="s">
        <v>518</v>
      </c>
      <c r="F184">
        <v>4</v>
      </c>
      <c r="G184" s="2">
        <v>10852.27</v>
      </c>
      <c r="H184" s="2">
        <v>1028.6199999999999</v>
      </c>
      <c r="I184" s="4">
        <f t="shared" si="2"/>
        <v>9.4783856280759679E-2</v>
      </c>
    </row>
    <row r="185" spans="1:9" x14ac:dyDescent="0.3">
      <c r="A185" t="s">
        <v>191</v>
      </c>
      <c r="B185" s="5">
        <v>45630</v>
      </c>
      <c r="C185" t="s">
        <v>510</v>
      </c>
      <c r="D185" t="s">
        <v>516</v>
      </c>
      <c r="E185" t="s">
        <v>518</v>
      </c>
      <c r="F185">
        <v>6</v>
      </c>
      <c r="G185" s="2">
        <v>14575.82</v>
      </c>
      <c r="H185" s="2">
        <v>903.74</v>
      </c>
      <c r="I185" s="4">
        <f t="shared" si="2"/>
        <v>6.2002686641300458E-2</v>
      </c>
    </row>
    <row r="186" spans="1:9" x14ac:dyDescent="0.3">
      <c r="A186" t="s">
        <v>192</v>
      </c>
      <c r="B186" s="5">
        <v>45623</v>
      </c>
      <c r="C186" t="s">
        <v>510</v>
      </c>
      <c r="D186" t="s">
        <v>514</v>
      </c>
      <c r="E186" t="s">
        <v>517</v>
      </c>
      <c r="F186">
        <v>6</v>
      </c>
      <c r="G186" s="2">
        <v>10821.36</v>
      </c>
      <c r="H186" s="2">
        <v>2050.61</v>
      </c>
      <c r="I186" s="4">
        <f t="shared" si="2"/>
        <v>0.18949651430134476</v>
      </c>
    </row>
    <row r="187" spans="1:9" x14ac:dyDescent="0.3">
      <c r="A187" t="s">
        <v>193</v>
      </c>
      <c r="B187" s="5">
        <v>45327</v>
      </c>
      <c r="C187" t="s">
        <v>512</v>
      </c>
      <c r="D187" t="s">
        <v>514</v>
      </c>
      <c r="E187" t="s">
        <v>519</v>
      </c>
      <c r="F187">
        <v>2</v>
      </c>
      <c r="G187" s="2">
        <v>2443.62</v>
      </c>
      <c r="H187" s="2">
        <v>474.75</v>
      </c>
      <c r="I187" s="4">
        <f t="shared" si="2"/>
        <v>0.19428143492032313</v>
      </c>
    </row>
    <row r="188" spans="1:9" x14ac:dyDescent="0.3">
      <c r="A188" t="s">
        <v>194</v>
      </c>
      <c r="B188" s="5">
        <v>45455</v>
      </c>
      <c r="C188" t="s">
        <v>512</v>
      </c>
      <c r="D188" t="s">
        <v>513</v>
      </c>
      <c r="E188" t="s">
        <v>517</v>
      </c>
      <c r="F188">
        <v>6</v>
      </c>
      <c r="G188" s="2">
        <v>2149.98</v>
      </c>
      <c r="H188" s="2">
        <v>530.99</v>
      </c>
      <c r="I188" s="4">
        <f t="shared" si="2"/>
        <v>0.24697439045944614</v>
      </c>
    </row>
    <row r="189" spans="1:9" x14ac:dyDescent="0.3">
      <c r="A189" t="s">
        <v>195</v>
      </c>
      <c r="B189" s="5">
        <v>45599</v>
      </c>
      <c r="C189" t="s">
        <v>509</v>
      </c>
      <c r="D189" t="s">
        <v>513</v>
      </c>
      <c r="E189" t="s">
        <v>518</v>
      </c>
      <c r="F189">
        <v>6</v>
      </c>
      <c r="G189" s="2">
        <v>11781.57</v>
      </c>
      <c r="H189" s="2">
        <v>2680.57</v>
      </c>
      <c r="I189" s="4">
        <f t="shared" si="2"/>
        <v>0.22752230814738614</v>
      </c>
    </row>
    <row r="190" spans="1:9" x14ac:dyDescent="0.3">
      <c r="A190" t="s">
        <v>196</v>
      </c>
      <c r="B190" s="5">
        <v>45456</v>
      </c>
      <c r="C190" t="s">
        <v>509</v>
      </c>
      <c r="D190" t="s">
        <v>513</v>
      </c>
      <c r="E190" t="s">
        <v>518</v>
      </c>
      <c r="F190">
        <v>4</v>
      </c>
      <c r="G190" s="2">
        <v>7369.7</v>
      </c>
      <c r="H190" s="2">
        <v>539.6</v>
      </c>
      <c r="I190" s="4">
        <f t="shared" si="2"/>
        <v>7.3218719893618472E-2</v>
      </c>
    </row>
    <row r="191" spans="1:9" x14ac:dyDescent="0.3">
      <c r="A191" t="s">
        <v>197</v>
      </c>
      <c r="B191" s="5">
        <v>45531</v>
      </c>
      <c r="C191" t="s">
        <v>508</v>
      </c>
      <c r="D191" t="s">
        <v>515</v>
      </c>
      <c r="E191" t="s">
        <v>518</v>
      </c>
      <c r="F191">
        <v>5</v>
      </c>
      <c r="G191" s="2">
        <v>12887.5</v>
      </c>
      <c r="H191" s="2">
        <v>3204.53</v>
      </c>
      <c r="I191" s="4">
        <f t="shared" si="2"/>
        <v>0.24865412221144523</v>
      </c>
    </row>
    <row r="192" spans="1:9" x14ac:dyDescent="0.3">
      <c r="A192" t="s">
        <v>198</v>
      </c>
      <c r="B192" s="5">
        <v>45385</v>
      </c>
      <c r="C192" t="s">
        <v>510</v>
      </c>
      <c r="D192" t="s">
        <v>514</v>
      </c>
      <c r="E192" t="s">
        <v>517</v>
      </c>
      <c r="F192">
        <v>7</v>
      </c>
      <c r="G192" s="2">
        <v>15822.37</v>
      </c>
      <c r="H192" s="2">
        <v>807.52</v>
      </c>
      <c r="I192" s="4">
        <f t="shared" si="2"/>
        <v>5.1036601975557386E-2</v>
      </c>
    </row>
    <row r="193" spans="1:9" x14ac:dyDescent="0.3">
      <c r="A193" t="s">
        <v>199</v>
      </c>
      <c r="B193" s="5">
        <v>45444</v>
      </c>
      <c r="C193" t="s">
        <v>508</v>
      </c>
      <c r="D193" t="s">
        <v>515</v>
      </c>
      <c r="E193" t="s">
        <v>518</v>
      </c>
      <c r="F193">
        <v>6</v>
      </c>
      <c r="G193" s="2">
        <v>11912.07</v>
      </c>
      <c r="H193" s="2">
        <v>748</v>
      </c>
      <c r="I193" s="4">
        <f t="shared" si="2"/>
        <v>6.279345235546803E-2</v>
      </c>
    </row>
    <row r="194" spans="1:9" x14ac:dyDescent="0.3">
      <c r="A194" t="s">
        <v>200</v>
      </c>
      <c r="B194" s="5">
        <v>45363</v>
      </c>
      <c r="C194" t="s">
        <v>512</v>
      </c>
      <c r="D194" t="s">
        <v>513</v>
      </c>
      <c r="E194" t="s">
        <v>519</v>
      </c>
      <c r="F194">
        <v>8</v>
      </c>
      <c r="G194" s="2">
        <v>7407.39</v>
      </c>
      <c r="H194" s="2">
        <v>740.03</v>
      </c>
      <c r="I194" s="4">
        <f t="shared" si="2"/>
        <v>9.9904284775069213E-2</v>
      </c>
    </row>
    <row r="195" spans="1:9" x14ac:dyDescent="0.3">
      <c r="A195" t="s">
        <v>201</v>
      </c>
      <c r="B195" s="5">
        <v>45432</v>
      </c>
      <c r="C195" t="s">
        <v>511</v>
      </c>
      <c r="D195" t="s">
        <v>516</v>
      </c>
      <c r="E195" t="s">
        <v>517</v>
      </c>
      <c r="F195">
        <v>10</v>
      </c>
      <c r="G195" s="2">
        <v>5510.88</v>
      </c>
      <c r="H195" s="2">
        <v>672.25</v>
      </c>
      <c r="I195" s="4">
        <f t="shared" ref="I195:I258" si="3">H195/G195</f>
        <v>0.12198596231454867</v>
      </c>
    </row>
    <row r="196" spans="1:9" x14ac:dyDescent="0.3">
      <c r="A196" t="s">
        <v>202</v>
      </c>
      <c r="B196" s="5">
        <v>45570</v>
      </c>
      <c r="C196" t="s">
        <v>512</v>
      </c>
      <c r="D196" t="s">
        <v>515</v>
      </c>
      <c r="E196" t="s">
        <v>519</v>
      </c>
      <c r="F196">
        <v>5</v>
      </c>
      <c r="G196" s="2">
        <v>9073.2000000000007</v>
      </c>
      <c r="H196" s="2">
        <v>1323.78</v>
      </c>
      <c r="I196" s="4">
        <f t="shared" si="3"/>
        <v>0.14590001322576376</v>
      </c>
    </row>
    <row r="197" spans="1:9" x14ac:dyDescent="0.3">
      <c r="A197" t="s">
        <v>203</v>
      </c>
      <c r="B197" s="5">
        <v>45471</v>
      </c>
      <c r="C197" t="s">
        <v>512</v>
      </c>
      <c r="D197" t="s">
        <v>514</v>
      </c>
      <c r="E197" t="s">
        <v>519</v>
      </c>
      <c r="F197">
        <v>9</v>
      </c>
      <c r="G197" s="2">
        <v>5273.04</v>
      </c>
      <c r="H197" s="2">
        <v>454.62</v>
      </c>
      <c r="I197" s="4">
        <f t="shared" si="3"/>
        <v>8.6215920986755276E-2</v>
      </c>
    </row>
    <row r="198" spans="1:9" x14ac:dyDescent="0.3">
      <c r="A198" t="s">
        <v>204</v>
      </c>
      <c r="B198" s="5">
        <v>45410</v>
      </c>
      <c r="C198" t="s">
        <v>508</v>
      </c>
      <c r="D198" t="s">
        <v>514</v>
      </c>
      <c r="E198" t="s">
        <v>517</v>
      </c>
      <c r="F198">
        <v>7</v>
      </c>
      <c r="G198" s="2">
        <v>2797.79</v>
      </c>
      <c r="H198" s="2">
        <v>541.27</v>
      </c>
      <c r="I198" s="4">
        <f t="shared" si="3"/>
        <v>0.19346341219319535</v>
      </c>
    </row>
    <row r="199" spans="1:9" x14ac:dyDescent="0.3">
      <c r="A199" t="s">
        <v>205</v>
      </c>
      <c r="B199" s="5">
        <v>45376</v>
      </c>
      <c r="C199" t="s">
        <v>509</v>
      </c>
      <c r="D199" t="s">
        <v>514</v>
      </c>
      <c r="E199" t="s">
        <v>517</v>
      </c>
      <c r="F199">
        <v>2</v>
      </c>
      <c r="G199" s="2">
        <v>17494.54</v>
      </c>
      <c r="H199" s="2">
        <v>936.39</v>
      </c>
      <c r="I199" s="4">
        <f t="shared" si="3"/>
        <v>5.3524699706308368E-2</v>
      </c>
    </row>
    <row r="200" spans="1:9" x14ac:dyDescent="0.3">
      <c r="A200" t="s">
        <v>206</v>
      </c>
      <c r="B200" s="5">
        <v>45476</v>
      </c>
      <c r="C200" t="s">
        <v>509</v>
      </c>
      <c r="D200" t="s">
        <v>514</v>
      </c>
      <c r="E200" t="s">
        <v>517</v>
      </c>
      <c r="F200">
        <v>8</v>
      </c>
      <c r="G200" s="2">
        <v>16879.61</v>
      </c>
      <c r="H200" s="2">
        <v>920.63</v>
      </c>
      <c r="I200" s="4">
        <f t="shared" si="3"/>
        <v>5.4540952071759949E-2</v>
      </c>
    </row>
    <row r="201" spans="1:9" x14ac:dyDescent="0.3">
      <c r="A201" t="s">
        <v>207</v>
      </c>
      <c r="B201" s="5">
        <v>45551</v>
      </c>
      <c r="C201" t="s">
        <v>509</v>
      </c>
      <c r="D201" t="s">
        <v>514</v>
      </c>
      <c r="E201" t="s">
        <v>518</v>
      </c>
      <c r="F201">
        <v>5</v>
      </c>
      <c r="G201" s="2">
        <v>4018.65</v>
      </c>
      <c r="H201" s="2">
        <v>938.6</v>
      </c>
      <c r="I201" s="4">
        <f t="shared" si="3"/>
        <v>0.23356102173615517</v>
      </c>
    </row>
    <row r="202" spans="1:9" x14ac:dyDescent="0.3">
      <c r="A202" t="s">
        <v>208</v>
      </c>
      <c r="B202" s="5">
        <v>45608</v>
      </c>
      <c r="C202" t="s">
        <v>509</v>
      </c>
      <c r="D202" t="s">
        <v>516</v>
      </c>
      <c r="E202" t="s">
        <v>518</v>
      </c>
      <c r="F202">
        <v>2</v>
      </c>
      <c r="G202" s="2">
        <v>13922.09</v>
      </c>
      <c r="H202" s="2">
        <v>1150.51</v>
      </c>
      <c r="I202" s="4">
        <f t="shared" si="3"/>
        <v>8.2639172710419193E-2</v>
      </c>
    </row>
    <row r="203" spans="1:9" x14ac:dyDescent="0.3">
      <c r="A203" t="s">
        <v>209</v>
      </c>
      <c r="B203" s="5">
        <v>45603</v>
      </c>
      <c r="C203" t="s">
        <v>510</v>
      </c>
      <c r="D203" t="s">
        <v>515</v>
      </c>
      <c r="E203" t="s">
        <v>519</v>
      </c>
      <c r="F203">
        <v>7</v>
      </c>
      <c r="G203" s="2">
        <v>8912.35</v>
      </c>
      <c r="H203" s="2">
        <v>1635.34</v>
      </c>
      <c r="I203" s="4">
        <f t="shared" si="3"/>
        <v>0.18349144726138447</v>
      </c>
    </row>
    <row r="204" spans="1:9" x14ac:dyDescent="0.3">
      <c r="A204" t="s">
        <v>210</v>
      </c>
      <c r="B204" s="5">
        <v>45304</v>
      </c>
      <c r="C204" t="s">
        <v>508</v>
      </c>
      <c r="D204" t="s">
        <v>514</v>
      </c>
      <c r="E204" t="s">
        <v>519</v>
      </c>
      <c r="F204">
        <v>1</v>
      </c>
      <c r="G204" s="2">
        <v>18230.93</v>
      </c>
      <c r="H204" s="2">
        <v>2558.15</v>
      </c>
      <c r="I204" s="4">
        <f t="shared" si="3"/>
        <v>0.14031922672074326</v>
      </c>
    </row>
    <row r="205" spans="1:9" x14ac:dyDescent="0.3">
      <c r="A205" t="s">
        <v>211</v>
      </c>
      <c r="B205" s="5">
        <v>45418</v>
      </c>
      <c r="C205" t="s">
        <v>508</v>
      </c>
      <c r="D205" t="s">
        <v>515</v>
      </c>
      <c r="E205" t="s">
        <v>519</v>
      </c>
      <c r="F205">
        <v>5</v>
      </c>
      <c r="G205" s="2">
        <v>7570.9</v>
      </c>
      <c r="H205" s="2">
        <v>1637.13</v>
      </c>
      <c r="I205" s="4">
        <f t="shared" si="3"/>
        <v>0.21623981296807515</v>
      </c>
    </row>
    <row r="206" spans="1:9" x14ac:dyDescent="0.3">
      <c r="A206" t="s">
        <v>212</v>
      </c>
      <c r="B206" s="5">
        <v>45325</v>
      </c>
      <c r="C206" t="s">
        <v>510</v>
      </c>
      <c r="D206" t="s">
        <v>515</v>
      </c>
      <c r="E206" t="s">
        <v>517</v>
      </c>
      <c r="F206">
        <v>5</v>
      </c>
      <c r="G206" s="2">
        <v>4951.6499999999996</v>
      </c>
      <c r="H206" s="2">
        <v>926.13</v>
      </c>
      <c r="I206" s="4">
        <f t="shared" si="3"/>
        <v>0.18703462482202904</v>
      </c>
    </row>
    <row r="207" spans="1:9" x14ac:dyDescent="0.3">
      <c r="A207" t="s">
        <v>213</v>
      </c>
      <c r="B207" s="5">
        <v>45561</v>
      </c>
      <c r="C207" t="s">
        <v>511</v>
      </c>
      <c r="D207" t="s">
        <v>516</v>
      </c>
      <c r="E207" t="s">
        <v>519</v>
      </c>
      <c r="F207">
        <v>2</v>
      </c>
      <c r="G207" s="2">
        <v>11160.29</v>
      </c>
      <c r="H207" s="2">
        <v>761.84</v>
      </c>
      <c r="I207" s="4">
        <f t="shared" si="3"/>
        <v>6.8263459103661286E-2</v>
      </c>
    </row>
    <row r="208" spans="1:9" x14ac:dyDescent="0.3">
      <c r="A208" t="s">
        <v>214</v>
      </c>
      <c r="B208" s="5">
        <v>45638</v>
      </c>
      <c r="C208" t="s">
        <v>508</v>
      </c>
      <c r="D208" t="s">
        <v>514</v>
      </c>
      <c r="E208" t="s">
        <v>519</v>
      </c>
      <c r="F208">
        <v>8</v>
      </c>
      <c r="G208" s="2">
        <v>5577.64</v>
      </c>
      <c r="H208" s="2">
        <v>982.18</v>
      </c>
      <c r="I208" s="4">
        <f t="shared" si="3"/>
        <v>0.1760923975014522</v>
      </c>
    </row>
    <row r="209" spans="1:9" x14ac:dyDescent="0.3">
      <c r="A209" t="s">
        <v>215</v>
      </c>
      <c r="B209" s="5">
        <v>45483</v>
      </c>
      <c r="C209" t="s">
        <v>509</v>
      </c>
      <c r="D209" t="s">
        <v>513</v>
      </c>
      <c r="E209" t="s">
        <v>517</v>
      </c>
      <c r="F209">
        <v>8</v>
      </c>
      <c r="G209" s="2">
        <v>17610.5</v>
      </c>
      <c r="H209" s="2">
        <v>2834.58</v>
      </c>
      <c r="I209" s="4">
        <f t="shared" si="3"/>
        <v>0.16095965475142671</v>
      </c>
    </row>
    <row r="210" spans="1:9" x14ac:dyDescent="0.3">
      <c r="A210" t="s">
        <v>216</v>
      </c>
      <c r="B210" s="5">
        <v>45651</v>
      </c>
      <c r="C210" t="s">
        <v>508</v>
      </c>
      <c r="D210" t="s">
        <v>514</v>
      </c>
      <c r="E210" t="s">
        <v>519</v>
      </c>
      <c r="F210">
        <v>8</v>
      </c>
      <c r="G210" s="2">
        <v>19701.400000000001</v>
      </c>
      <c r="H210" s="2">
        <v>2692.85</v>
      </c>
      <c r="I210" s="4">
        <f t="shared" si="3"/>
        <v>0.13668317987554182</v>
      </c>
    </row>
    <row r="211" spans="1:9" x14ac:dyDescent="0.3">
      <c r="A211" t="s">
        <v>217</v>
      </c>
      <c r="B211" s="5">
        <v>45613</v>
      </c>
      <c r="C211" t="s">
        <v>512</v>
      </c>
      <c r="D211" t="s">
        <v>516</v>
      </c>
      <c r="E211" t="s">
        <v>517</v>
      </c>
      <c r="F211">
        <v>6</v>
      </c>
      <c r="G211" s="2">
        <v>2799.07</v>
      </c>
      <c r="H211" s="2">
        <v>422.52</v>
      </c>
      <c r="I211" s="4">
        <f t="shared" si="3"/>
        <v>0.15095013700979251</v>
      </c>
    </row>
    <row r="212" spans="1:9" x14ac:dyDescent="0.3">
      <c r="A212" t="s">
        <v>218</v>
      </c>
      <c r="B212" s="5">
        <v>45575</v>
      </c>
      <c r="C212" t="s">
        <v>510</v>
      </c>
      <c r="D212" t="s">
        <v>513</v>
      </c>
      <c r="E212" t="s">
        <v>519</v>
      </c>
      <c r="F212">
        <v>2</v>
      </c>
      <c r="G212" s="2">
        <v>5074.38</v>
      </c>
      <c r="H212" s="2">
        <v>1034.1099999999999</v>
      </c>
      <c r="I212" s="4">
        <f t="shared" si="3"/>
        <v>0.20379041380424798</v>
      </c>
    </row>
    <row r="213" spans="1:9" x14ac:dyDescent="0.3">
      <c r="A213" t="s">
        <v>219</v>
      </c>
      <c r="B213" s="5">
        <v>45583</v>
      </c>
      <c r="C213" t="s">
        <v>511</v>
      </c>
      <c r="D213" t="s">
        <v>514</v>
      </c>
      <c r="E213" t="s">
        <v>519</v>
      </c>
      <c r="F213">
        <v>2</v>
      </c>
      <c r="G213" s="2">
        <v>4307.5200000000004</v>
      </c>
      <c r="H213" s="2">
        <v>600.89</v>
      </c>
      <c r="I213" s="4">
        <f t="shared" si="3"/>
        <v>0.1394979013446252</v>
      </c>
    </row>
    <row r="214" spans="1:9" x14ac:dyDescent="0.3">
      <c r="A214" t="s">
        <v>220</v>
      </c>
      <c r="B214" s="5">
        <v>45385</v>
      </c>
      <c r="C214" t="s">
        <v>510</v>
      </c>
      <c r="D214" t="s">
        <v>514</v>
      </c>
      <c r="E214" t="s">
        <v>517</v>
      </c>
      <c r="F214">
        <v>3</v>
      </c>
      <c r="G214" s="2">
        <v>4086.24</v>
      </c>
      <c r="H214" s="2">
        <v>415.05</v>
      </c>
      <c r="I214" s="4">
        <f t="shared" si="3"/>
        <v>0.10157259485492777</v>
      </c>
    </row>
    <row r="215" spans="1:9" x14ac:dyDescent="0.3">
      <c r="A215" t="s">
        <v>221</v>
      </c>
      <c r="B215" s="5">
        <v>45628</v>
      </c>
      <c r="C215" t="s">
        <v>510</v>
      </c>
      <c r="D215" t="s">
        <v>513</v>
      </c>
      <c r="E215" t="s">
        <v>517</v>
      </c>
      <c r="F215">
        <v>5</v>
      </c>
      <c r="G215" s="2">
        <v>13636.85</v>
      </c>
      <c r="H215" s="2">
        <v>2933.44</v>
      </c>
      <c r="I215" s="4">
        <f t="shared" si="3"/>
        <v>0.21511126103168987</v>
      </c>
    </row>
    <row r="216" spans="1:9" x14ac:dyDescent="0.3">
      <c r="A216" t="s">
        <v>222</v>
      </c>
      <c r="B216" s="5">
        <v>45547</v>
      </c>
      <c r="C216" t="s">
        <v>512</v>
      </c>
      <c r="D216" t="s">
        <v>513</v>
      </c>
      <c r="E216" t="s">
        <v>518</v>
      </c>
      <c r="F216">
        <v>6</v>
      </c>
      <c r="G216" s="2">
        <v>18002.5</v>
      </c>
      <c r="H216" s="2">
        <v>2965.48</v>
      </c>
      <c r="I216" s="4">
        <f t="shared" si="3"/>
        <v>0.1647260102763505</v>
      </c>
    </row>
    <row r="217" spans="1:9" x14ac:dyDescent="0.3">
      <c r="A217" t="s">
        <v>223</v>
      </c>
      <c r="B217" s="5">
        <v>45383</v>
      </c>
      <c r="C217" t="s">
        <v>511</v>
      </c>
      <c r="D217" t="s">
        <v>514</v>
      </c>
      <c r="E217" t="s">
        <v>519</v>
      </c>
      <c r="F217">
        <v>5</v>
      </c>
      <c r="G217" s="2">
        <v>14752.58</v>
      </c>
      <c r="H217" s="2">
        <v>1104.03</v>
      </c>
      <c r="I217" s="4">
        <f t="shared" si="3"/>
        <v>7.4836401497229629E-2</v>
      </c>
    </row>
    <row r="218" spans="1:9" x14ac:dyDescent="0.3">
      <c r="A218" t="s">
        <v>224</v>
      </c>
      <c r="B218" s="5">
        <v>45524</v>
      </c>
      <c r="C218" t="s">
        <v>509</v>
      </c>
      <c r="D218" t="s">
        <v>515</v>
      </c>
      <c r="E218" t="s">
        <v>519</v>
      </c>
      <c r="F218">
        <v>3</v>
      </c>
      <c r="G218" s="2">
        <v>17238.48</v>
      </c>
      <c r="H218" s="2">
        <v>1096.8399999999999</v>
      </c>
      <c r="I218" s="4">
        <f t="shared" si="3"/>
        <v>6.3627419586877731E-2</v>
      </c>
    </row>
    <row r="219" spans="1:9" x14ac:dyDescent="0.3">
      <c r="A219" t="s">
        <v>225</v>
      </c>
      <c r="B219" s="5">
        <v>45299</v>
      </c>
      <c r="C219" t="s">
        <v>508</v>
      </c>
      <c r="D219" t="s">
        <v>516</v>
      </c>
      <c r="E219" t="s">
        <v>518</v>
      </c>
      <c r="F219">
        <v>2</v>
      </c>
      <c r="G219" s="2">
        <v>672.94</v>
      </c>
      <c r="H219" s="2">
        <v>48.11</v>
      </c>
      <c r="I219" s="4">
        <f t="shared" si="3"/>
        <v>7.1492257853597641E-2</v>
      </c>
    </row>
    <row r="220" spans="1:9" x14ac:dyDescent="0.3">
      <c r="A220" t="s">
        <v>226</v>
      </c>
      <c r="B220" s="5">
        <v>45579</v>
      </c>
      <c r="C220" t="s">
        <v>511</v>
      </c>
      <c r="D220" t="s">
        <v>513</v>
      </c>
      <c r="E220" t="s">
        <v>518</v>
      </c>
      <c r="F220">
        <v>7</v>
      </c>
      <c r="G220" s="2">
        <v>10684.85</v>
      </c>
      <c r="H220" s="2">
        <v>2375.58</v>
      </c>
      <c r="I220" s="4">
        <f t="shared" si="3"/>
        <v>0.2223316190681198</v>
      </c>
    </row>
    <row r="221" spans="1:9" x14ac:dyDescent="0.3">
      <c r="A221" t="s">
        <v>227</v>
      </c>
      <c r="B221" s="5">
        <v>45294</v>
      </c>
      <c r="C221" t="s">
        <v>511</v>
      </c>
      <c r="D221" t="s">
        <v>514</v>
      </c>
      <c r="E221" t="s">
        <v>517</v>
      </c>
      <c r="F221">
        <v>7</v>
      </c>
      <c r="G221" s="2">
        <v>13777.37</v>
      </c>
      <c r="H221" s="2">
        <v>899.83</v>
      </c>
      <c r="I221" s="4">
        <f t="shared" si="3"/>
        <v>6.531217496517841E-2</v>
      </c>
    </row>
    <row r="222" spans="1:9" x14ac:dyDescent="0.3">
      <c r="A222" t="s">
        <v>228</v>
      </c>
      <c r="B222" s="5">
        <v>45318</v>
      </c>
      <c r="C222" t="s">
        <v>510</v>
      </c>
      <c r="D222" t="s">
        <v>516</v>
      </c>
      <c r="E222" t="s">
        <v>519</v>
      </c>
      <c r="F222">
        <v>10</v>
      </c>
      <c r="G222" s="2">
        <v>11870.17</v>
      </c>
      <c r="H222" s="2">
        <v>1837.7</v>
      </c>
      <c r="I222" s="4">
        <f t="shared" si="3"/>
        <v>0.15481665384741752</v>
      </c>
    </row>
    <row r="223" spans="1:9" x14ac:dyDescent="0.3">
      <c r="A223" t="s">
        <v>229</v>
      </c>
      <c r="B223" s="5">
        <v>45400</v>
      </c>
      <c r="C223" t="s">
        <v>509</v>
      </c>
      <c r="D223" t="s">
        <v>516</v>
      </c>
      <c r="E223" t="s">
        <v>518</v>
      </c>
      <c r="F223">
        <v>2</v>
      </c>
      <c r="G223" s="2">
        <v>7257.64</v>
      </c>
      <c r="H223" s="2">
        <v>845.33</v>
      </c>
      <c r="I223" s="4">
        <f t="shared" si="3"/>
        <v>0.11647450135305691</v>
      </c>
    </row>
    <row r="224" spans="1:9" x14ac:dyDescent="0.3">
      <c r="A224" t="s">
        <v>230</v>
      </c>
      <c r="B224" s="5">
        <v>45407</v>
      </c>
      <c r="C224" t="s">
        <v>511</v>
      </c>
      <c r="D224" t="s">
        <v>513</v>
      </c>
      <c r="E224" t="s">
        <v>519</v>
      </c>
      <c r="F224">
        <v>8</v>
      </c>
      <c r="G224" s="2">
        <v>9700.06</v>
      </c>
      <c r="H224" s="2">
        <v>986.8</v>
      </c>
      <c r="I224" s="4">
        <f t="shared" si="3"/>
        <v>0.10173132949693095</v>
      </c>
    </row>
    <row r="225" spans="1:9" x14ac:dyDescent="0.3">
      <c r="A225" t="s">
        <v>231</v>
      </c>
      <c r="B225" s="5">
        <v>45546</v>
      </c>
      <c r="C225" t="s">
        <v>508</v>
      </c>
      <c r="D225" t="s">
        <v>513</v>
      </c>
      <c r="E225" t="s">
        <v>518</v>
      </c>
      <c r="F225">
        <v>7</v>
      </c>
      <c r="G225" s="2">
        <v>19276.2</v>
      </c>
      <c r="H225" s="2">
        <v>3686.52</v>
      </c>
      <c r="I225" s="4">
        <f t="shared" si="3"/>
        <v>0.1912472375260684</v>
      </c>
    </row>
    <row r="226" spans="1:9" x14ac:dyDescent="0.3">
      <c r="A226" t="s">
        <v>232</v>
      </c>
      <c r="B226" s="5">
        <v>45340</v>
      </c>
      <c r="C226" t="s">
        <v>509</v>
      </c>
      <c r="D226" t="s">
        <v>516</v>
      </c>
      <c r="E226" t="s">
        <v>518</v>
      </c>
      <c r="F226">
        <v>10</v>
      </c>
      <c r="G226" s="2">
        <v>14915.64</v>
      </c>
      <c r="H226" s="2">
        <v>1985.74</v>
      </c>
      <c r="I226" s="4">
        <f t="shared" si="3"/>
        <v>0.13313139764703358</v>
      </c>
    </row>
    <row r="227" spans="1:9" x14ac:dyDescent="0.3">
      <c r="A227" t="s">
        <v>233</v>
      </c>
      <c r="B227" s="5">
        <v>45325</v>
      </c>
      <c r="C227" t="s">
        <v>508</v>
      </c>
      <c r="D227" t="s">
        <v>515</v>
      </c>
      <c r="E227" t="s">
        <v>518</v>
      </c>
      <c r="F227">
        <v>2</v>
      </c>
      <c r="G227" s="2">
        <v>13317.27</v>
      </c>
      <c r="H227" s="2">
        <v>1830.44</v>
      </c>
      <c r="I227" s="4">
        <f t="shared" si="3"/>
        <v>0.13744859119023645</v>
      </c>
    </row>
    <row r="228" spans="1:9" x14ac:dyDescent="0.3">
      <c r="A228" t="s">
        <v>234</v>
      </c>
      <c r="B228" s="5">
        <v>45477</v>
      </c>
      <c r="C228" t="s">
        <v>512</v>
      </c>
      <c r="D228" t="s">
        <v>516</v>
      </c>
      <c r="E228" t="s">
        <v>517</v>
      </c>
      <c r="F228">
        <v>9</v>
      </c>
      <c r="G228" s="2">
        <v>8731.0300000000007</v>
      </c>
      <c r="H228" s="2">
        <v>520.16999999999996</v>
      </c>
      <c r="I228" s="4">
        <f t="shared" si="3"/>
        <v>5.9577163290012738E-2</v>
      </c>
    </row>
    <row r="229" spans="1:9" x14ac:dyDescent="0.3">
      <c r="A229" t="s">
        <v>235</v>
      </c>
      <c r="B229" s="5">
        <v>45573</v>
      </c>
      <c r="C229" t="s">
        <v>511</v>
      </c>
      <c r="D229" t="s">
        <v>516</v>
      </c>
      <c r="E229" t="s">
        <v>517</v>
      </c>
      <c r="F229">
        <v>4</v>
      </c>
      <c r="G229" s="2">
        <v>11553.81</v>
      </c>
      <c r="H229" s="2">
        <v>1758.96</v>
      </c>
      <c r="I229" s="4">
        <f t="shared" si="3"/>
        <v>0.1522406894349137</v>
      </c>
    </row>
    <row r="230" spans="1:9" x14ac:dyDescent="0.3">
      <c r="A230" t="s">
        <v>236</v>
      </c>
      <c r="B230" s="5">
        <v>45603</v>
      </c>
      <c r="C230" t="s">
        <v>511</v>
      </c>
      <c r="D230" t="s">
        <v>514</v>
      </c>
      <c r="E230" t="s">
        <v>518</v>
      </c>
      <c r="F230">
        <v>7</v>
      </c>
      <c r="G230" s="2">
        <v>1321.5</v>
      </c>
      <c r="H230" s="2">
        <v>81.05</v>
      </c>
      <c r="I230" s="4">
        <f t="shared" si="3"/>
        <v>6.1331819901626936E-2</v>
      </c>
    </row>
    <row r="231" spans="1:9" x14ac:dyDescent="0.3">
      <c r="A231" t="s">
        <v>237</v>
      </c>
      <c r="B231" s="5">
        <v>45453</v>
      </c>
      <c r="C231" t="s">
        <v>510</v>
      </c>
      <c r="D231" t="s">
        <v>516</v>
      </c>
      <c r="E231" t="s">
        <v>518</v>
      </c>
      <c r="F231">
        <v>1</v>
      </c>
      <c r="G231" s="2">
        <v>3011.76</v>
      </c>
      <c r="H231" s="2">
        <v>553.24</v>
      </c>
      <c r="I231" s="4">
        <f t="shared" si="3"/>
        <v>0.18369325577071213</v>
      </c>
    </row>
    <row r="232" spans="1:9" x14ac:dyDescent="0.3">
      <c r="A232" t="s">
        <v>238</v>
      </c>
      <c r="B232" s="5">
        <v>45362</v>
      </c>
      <c r="C232" t="s">
        <v>509</v>
      </c>
      <c r="D232" t="s">
        <v>515</v>
      </c>
      <c r="E232" t="s">
        <v>519</v>
      </c>
      <c r="F232">
        <v>1</v>
      </c>
      <c r="G232" s="2">
        <v>2166.83</v>
      </c>
      <c r="H232" s="2">
        <v>209.02</v>
      </c>
      <c r="I232" s="4">
        <f t="shared" si="3"/>
        <v>9.6463497367121565E-2</v>
      </c>
    </row>
    <row r="233" spans="1:9" x14ac:dyDescent="0.3">
      <c r="A233" t="s">
        <v>239</v>
      </c>
      <c r="B233" s="5">
        <v>45451</v>
      </c>
      <c r="C233" t="s">
        <v>509</v>
      </c>
      <c r="D233" t="s">
        <v>515</v>
      </c>
      <c r="E233" t="s">
        <v>518</v>
      </c>
      <c r="F233">
        <v>4</v>
      </c>
      <c r="G233" s="2">
        <v>13459.26</v>
      </c>
      <c r="H233" s="2">
        <v>2649.24</v>
      </c>
      <c r="I233" s="4">
        <f t="shared" si="3"/>
        <v>0.19683400127495862</v>
      </c>
    </row>
    <row r="234" spans="1:9" x14ac:dyDescent="0.3">
      <c r="A234" t="s">
        <v>240</v>
      </c>
      <c r="B234" s="5">
        <v>45516</v>
      </c>
      <c r="C234" t="s">
        <v>509</v>
      </c>
      <c r="D234" t="s">
        <v>516</v>
      </c>
      <c r="E234" t="s">
        <v>519</v>
      </c>
      <c r="F234">
        <v>5</v>
      </c>
      <c r="G234" s="2">
        <v>4109.09</v>
      </c>
      <c r="H234" s="2">
        <v>835.47</v>
      </c>
      <c r="I234" s="4">
        <f t="shared" si="3"/>
        <v>0.20332239011557304</v>
      </c>
    </row>
    <row r="235" spans="1:9" x14ac:dyDescent="0.3">
      <c r="A235" t="s">
        <v>241</v>
      </c>
      <c r="B235" s="5">
        <v>45654</v>
      </c>
      <c r="C235" t="s">
        <v>512</v>
      </c>
      <c r="D235" t="s">
        <v>516</v>
      </c>
      <c r="E235" t="s">
        <v>517</v>
      </c>
      <c r="F235">
        <v>5</v>
      </c>
      <c r="G235" s="2">
        <v>978.58</v>
      </c>
      <c r="H235" s="2">
        <v>134.44999999999999</v>
      </c>
      <c r="I235" s="4">
        <f t="shared" si="3"/>
        <v>0.13739295714198121</v>
      </c>
    </row>
    <row r="236" spans="1:9" x14ac:dyDescent="0.3">
      <c r="A236" t="s">
        <v>242</v>
      </c>
      <c r="B236" s="5">
        <v>45523</v>
      </c>
      <c r="C236" t="s">
        <v>508</v>
      </c>
      <c r="D236" t="s">
        <v>516</v>
      </c>
      <c r="E236" t="s">
        <v>519</v>
      </c>
      <c r="F236">
        <v>6</v>
      </c>
      <c r="G236" s="2">
        <v>13813.62</v>
      </c>
      <c r="H236" s="2">
        <v>2484.3000000000002</v>
      </c>
      <c r="I236" s="4">
        <f t="shared" si="3"/>
        <v>0.1798442406841943</v>
      </c>
    </row>
    <row r="237" spans="1:9" x14ac:dyDescent="0.3">
      <c r="A237" t="s">
        <v>243</v>
      </c>
      <c r="B237" s="5">
        <v>45297</v>
      </c>
      <c r="C237" t="s">
        <v>508</v>
      </c>
      <c r="D237" t="s">
        <v>515</v>
      </c>
      <c r="E237" t="s">
        <v>517</v>
      </c>
      <c r="F237">
        <v>10</v>
      </c>
      <c r="G237" s="2">
        <v>12200.35</v>
      </c>
      <c r="H237" s="2">
        <v>2122.2199999999998</v>
      </c>
      <c r="I237" s="4">
        <f t="shared" si="3"/>
        <v>0.17394746872015965</v>
      </c>
    </row>
    <row r="238" spans="1:9" x14ac:dyDescent="0.3">
      <c r="A238" t="s">
        <v>244</v>
      </c>
      <c r="B238" s="5">
        <v>45521</v>
      </c>
      <c r="C238" t="s">
        <v>512</v>
      </c>
      <c r="D238" t="s">
        <v>516</v>
      </c>
      <c r="E238" t="s">
        <v>519</v>
      </c>
      <c r="F238">
        <v>6</v>
      </c>
      <c r="G238" s="2">
        <v>8598.1200000000008</v>
      </c>
      <c r="H238" s="2">
        <v>819.59</v>
      </c>
      <c r="I238" s="4">
        <f t="shared" si="3"/>
        <v>9.5322000623392092E-2</v>
      </c>
    </row>
    <row r="239" spans="1:9" x14ac:dyDescent="0.3">
      <c r="A239" t="s">
        <v>245</v>
      </c>
      <c r="B239" s="5">
        <v>45444</v>
      </c>
      <c r="C239" t="s">
        <v>512</v>
      </c>
      <c r="D239" t="s">
        <v>514</v>
      </c>
      <c r="E239" t="s">
        <v>517</v>
      </c>
      <c r="F239">
        <v>6</v>
      </c>
      <c r="G239" s="2">
        <v>8264.26</v>
      </c>
      <c r="H239" s="2">
        <v>737.17</v>
      </c>
      <c r="I239" s="4">
        <f t="shared" si="3"/>
        <v>8.9199758962084916E-2</v>
      </c>
    </row>
    <row r="240" spans="1:9" x14ac:dyDescent="0.3">
      <c r="A240" t="s">
        <v>246</v>
      </c>
      <c r="B240" s="5">
        <v>45471</v>
      </c>
      <c r="C240" t="s">
        <v>509</v>
      </c>
      <c r="D240" t="s">
        <v>515</v>
      </c>
      <c r="E240" t="s">
        <v>519</v>
      </c>
      <c r="F240">
        <v>4</v>
      </c>
      <c r="G240" s="2">
        <v>9018.56</v>
      </c>
      <c r="H240" s="2">
        <v>806.74</v>
      </c>
      <c r="I240" s="4">
        <f t="shared" si="3"/>
        <v>8.9453305183976164E-2</v>
      </c>
    </row>
    <row r="241" spans="1:9" x14ac:dyDescent="0.3">
      <c r="A241" t="s">
        <v>247</v>
      </c>
      <c r="B241" s="5">
        <v>45576</v>
      </c>
      <c r="C241" t="s">
        <v>509</v>
      </c>
      <c r="D241" t="s">
        <v>515</v>
      </c>
      <c r="E241" t="s">
        <v>519</v>
      </c>
      <c r="F241">
        <v>3</v>
      </c>
      <c r="G241" s="2">
        <v>19071.07</v>
      </c>
      <c r="H241" s="2">
        <v>4350.1400000000003</v>
      </c>
      <c r="I241" s="4">
        <f t="shared" si="3"/>
        <v>0.22810151711466636</v>
      </c>
    </row>
    <row r="242" spans="1:9" x14ac:dyDescent="0.3">
      <c r="A242" t="s">
        <v>248</v>
      </c>
      <c r="B242" s="5">
        <v>45514</v>
      </c>
      <c r="C242" t="s">
        <v>511</v>
      </c>
      <c r="D242" t="s">
        <v>513</v>
      </c>
      <c r="E242" t="s">
        <v>518</v>
      </c>
      <c r="F242">
        <v>6</v>
      </c>
      <c r="G242" s="2">
        <v>7689.63</v>
      </c>
      <c r="H242" s="2">
        <v>892.03</v>
      </c>
      <c r="I242" s="4">
        <f t="shared" si="3"/>
        <v>0.1160042810902475</v>
      </c>
    </row>
    <row r="243" spans="1:9" x14ac:dyDescent="0.3">
      <c r="A243" t="s">
        <v>249</v>
      </c>
      <c r="B243" s="5">
        <v>45567</v>
      </c>
      <c r="C243" t="s">
        <v>509</v>
      </c>
      <c r="D243" t="s">
        <v>515</v>
      </c>
      <c r="E243" t="s">
        <v>519</v>
      </c>
      <c r="F243">
        <v>8</v>
      </c>
      <c r="G243" s="2">
        <v>12829.87</v>
      </c>
      <c r="H243" s="2">
        <v>2586.35</v>
      </c>
      <c r="I243" s="4">
        <f t="shared" si="3"/>
        <v>0.20158816885907649</v>
      </c>
    </row>
    <row r="244" spans="1:9" x14ac:dyDescent="0.3">
      <c r="A244" t="s">
        <v>250</v>
      </c>
      <c r="B244" s="5">
        <v>45400</v>
      </c>
      <c r="C244" t="s">
        <v>509</v>
      </c>
      <c r="D244" t="s">
        <v>515</v>
      </c>
      <c r="E244" t="s">
        <v>519</v>
      </c>
      <c r="F244">
        <v>8</v>
      </c>
      <c r="G244" s="2">
        <v>11768.48</v>
      </c>
      <c r="H244" s="2">
        <v>1430.42</v>
      </c>
      <c r="I244" s="4">
        <f t="shared" si="3"/>
        <v>0.1215467078161326</v>
      </c>
    </row>
    <row r="245" spans="1:9" x14ac:dyDescent="0.3">
      <c r="A245" t="s">
        <v>251</v>
      </c>
      <c r="B245" s="5">
        <v>45474</v>
      </c>
      <c r="C245" t="s">
        <v>510</v>
      </c>
      <c r="D245" t="s">
        <v>514</v>
      </c>
      <c r="E245" t="s">
        <v>517</v>
      </c>
      <c r="F245">
        <v>3</v>
      </c>
      <c r="G245" s="2">
        <v>2065.61</v>
      </c>
      <c r="H245" s="2">
        <v>151.22999999999999</v>
      </c>
      <c r="I245" s="4">
        <f t="shared" si="3"/>
        <v>7.3213239672542244E-2</v>
      </c>
    </row>
    <row r="246" spans="1:9" x14ac:dyDescent="0.3">
      <c r="A246" t="s">
        <v>252</v>
      </c>
      <c r="B246" s="5">
        <v>45616</v>
      </c>
      <c r="C246" t="s">
        <v>512</v>
      </c>
      <c r="D246" t="s">
        <v>514</v>
      </c>
      <c r="E246" t="s">
        <v>517</v>
      </c>
      <c r="F246">
        <v>1</v>
      </c>
      <c r="G246" s="2">
        <v>3083.58</v>
      </c>
      <c r="H246" s="2">
        <v>616.04999999999995</v>
      </c>
      <c r="I246" s="4">
        <f t="shared" si="3"/>
        <v>0.19978401727861769</v>
      </c>
    </row>
    <row r="247" spans="1:9" x14ac:dyDescent="0.3">
      <c r="A247" t="s">
        <v>253</v>
      </c>
      <c r="B247" s="5">
        <v>45575</v>
      </c>
      <c r="C247" t="s">
        <v>508</v>
      </c>
      <c r="D247" t="s">
        <v>514</v>
      </c>
      <c r="E247" t="s">
        <v>517</v>
      </c>
      <c r="F247">
        <v>3</v>
      </c>
      <c r="G247" s="2">
        <v>19238.98</v>
      </c>
      <c r="H247" s="2">
        <v>3556.02</v>
      </c>
      <c r="I247" s="4">
        <f t="shared" si="3"/>
        <v>0.18483412322274881</v>
      </c>
    </row>
    <row r="248" spans="1:9" x14ac:dyDescent="0.3">
      <c r="A248" t="s">
        <v>254</v>
      </c>
      <c r="B248" s="5">
        <v>45376</v>
      </c>
      <c r="C248" t="s">
        <v>509</v>
      </c>
      <c r="D248" t="s">
        <v>514</v>
      </c>
      <c r="E248" t="s">
        <v>519</v>
      </c>
      <c r="F248">
        <v>6</v>
      </c>
      <c r="G248" s="2">
        <v>2574.23</v>
      </c>
      <c r="H248" s="2">
        <v>620.27</v>
      </c>
      <c r="I248" s="4">
        <f t="shared" si="3"/>
        <v>0.24095360554418213</v>
      </c>
    </row>
    <row r="249" spans="1:9" x14ac:dyDescent="0.3">
      <c r="A249" t="s">
        <v>255</v>
      </c>
      <c r="B249" s="5">
        <v>45356</v>
      </c>
      <c r="C249" t="s">
        <v>512</v>
      </c>
      <c r="D249" t="s">
        <v>516</v>
      </c>
      <c r="E249" t="s">
        <v>518</v>
      </c>
      <c r="F249">
        <v>5</v>
      </c>
      <c r="G249" s="2">
        <v>7376.24</v>
      </c>
      <c r="H249" s="2">
        <v>1044.5999999999999</v>
      </c>
      <c r="I249" s="4">
        <f t="shared" si="3"/>
        <v>0.14161686713013674</v>
      </c>
    </row>
    <row r="250" spans="1:9" x14ac:dyDescent="0.3">
      <c r="A250" t="s">
        <v>256</v>
      </c>
      <c r="B250" s="5">
        <v>45452</v>
      </c>
      <c r="C250" t="s">
        <v>512</v>
      </c>
      <c r="D250" t="s">
        <v>516</v>
      </c>
      <c r="E250" t="s">
        <v>518</v>
      </c>
      <c r="F250">
        <v>5</v>
      </c>
      <c r="G250" s="2">
        <v>17255.349999999999</v>
      </c>
      <c r="H250" s="2">
        <v>3508.83</v>
      </c>
      <c r="I250" s="4">
        <f t="shared" si="3"/>
        <v>0.20334736762801103</v>
      </c>
    </row>
    <row r="251" spans="1:9" x14ac:dyDescent="0.3">
      <c r="A251" t="s">
        <v>257</v>
      </c>
      <c r="B251" s="5">
        <v>45575</v>
      </c>
      <c r="C251" t="s">
        <v>509</v>
      </c>
      <c r="D251" t="s">
        <v>515</v>
      </c>
      <c r="E251" t="s">
        <v>519</v>
      </c>
      <c r="F251">
        <v>7</v>
      </c>
      <c r="G251" s="2">
        <v>9623.68</v>
      </c>
      <c r="H251" s="2">
        <v>1929.77</v>
      </c>
      <c r="I251" s="4">
        <f t="shared" si="3"/>
        <v>0.2005230847243466</v>
      </c>
    </row>
    <row r="252" spans="1:9" x14ac:dyDescent="0.3">
      <c r="A252" t="s">
        <v>258</v>
      </c>
      <c r="B252" s="5">
        <v>45635</v>
      </c>
      <c r="C252" t="s">
        <v>512</v>
      </c>
      <c r="D252" t="s">
        <v>516</v>
      </c>
      <c r="E252" t="s">
        <v>517</v>
      </c>
      <c r="F252">
        <v>1</v>
      </c>
      <c r="G252" s="2">
        <v>18227.88</v>
      </c>
      <c r="H252" s="2">
        <v>2760.95</v>
      </c>
      <c r="I252" s="4">
        <f t="shared" si="3"/>
        <v>0.15146851965231281</v>
      </c>
    </row>
    <row r="253" spans="1:9" x14ac:dyDescent="0.3">
      <c r="A253" t="s">
        <v>259</v>
      </c>
      <c r="B253" s="5">
        <v>45410</v>
      </c>
      <c r="C253" t="s">
        <v>510</v>
      </c>
      <c r="D253" t="s">
        <v>514</v>
      </c>
      <c r="E253" t="s">
        <v>517</v>
      </c>
      <c r="F253">
        <v>9</v>
      </c>
      <c r="G253" s="2">
        <v>15376.37</v>
      </c>
      <c r="H253" s="2">
        <v>1071.05</v>
      </c>
      <c r="I253" s="4">
        <f t="shared" si="3"/>
        <v>6.9655581909124187E-2</v>
      </c>
    </row>
    <row r="254" spans="1:9" x14ac:dyDescent="0.3">
      <c r="A254" t="s">
        <v>260</v>
      </c>
      <c r="B254" s="5">
        <v>45373</v>
      </c>
      <c r="C254" t="s">
        <v>512</v>
      </c>
      <c r="D254" t="s">
        <v>513</v>
      </c>
      <c r="E254" t="s">
        <v>517</v>
      </c>
      <c r="F254">
        <v>3</v>
      </c>
      <c r="G254" s="2">
        <v>7123.89</v>
      </c>
      <c r="H254" s="2">
        <v>1387.01</v>
      </c>
      <c r="I254" s="4">
        <f t="shared" si="3"/>
        <v>0.19469840213703468</v>
      </c>
    </row>
    <row r="255" spans="1:9" x14ac:dyDescent="0.3">
      <c r="A255" t="s">
        <v>261</v>
      </c>
      <c r="B255" s="5">
        <v>45615</v>
      </c>
      <c r="C255" t="s">
        <v>510</v>
      </c>
      <c r="D255" t="s">
        <v>514</v>
      </c>
      <c r="E255" t="s">
        <v>517</v>
      </c>
      <c r="F255">
        <v>5</v>
      </c>
      <c r="G255" s="2">
        <v>9878.25</v>
      </c>
      <c r="H255" s="2">
        <v>958</v>
      </c>
      <c r="I255" s="4">
        <f t="shared" si="3"/>
        <v>9.6980740515779623E-2</v>
      </c>
    </row>
    <row r="256" spans="1:9" x14ac:dyDescent="0.3">
      <c r="A256" t="s">
        <v>262</v>
      </c>
      <c r="B256" s="5">
        <v>45360</v>
      </c>
      <c r="C256" t="s">
        <v>511</v>
      </c>
      <c r="D256" t="s">
        <v>515</v>
      </c>
      <c r="E256" t="s">
        <v>518</v>
      </c>
      <c r="F256">
        <v>7</v>
      </c>
      <c r="G256" s="2">
        <v>15131.1</v>
      </c>
      <c r="H256" s="2">
        <v>2479.69</v>
      </c>
      <c r="I256" s="4">
        <f t="shared" si="3"/>
        <v>0.16388035238680598</v>
      </c>
    </row>
    <row r="257" spans="1:9" x14ac:dyDescent="0.3">
      <c r="A257" t="s">
        <v>263</v>
      </c>
      <c r="B257" s="5">
        <v>45556</v>
      </c>
      <c r="C257" t="s">
        <v>510</v>
      </c>
      <c r="D257" t="s">
        <v>516</v>
      </c>
      <c r="E257" t="s">
        <v>517</v>
      </c>
      <c r="F257">
        <v>1</v>
      </c>
      <c r="G257" s="2">
        <v>2358.38</v>
      </c>
      <c r="H257" s="2">
        <v>374.15</v>
      </c>
      <c r="I257" s="4">
        <f t="shared" si="3"/>
        <v>0.15864703737311203</v>
      </c>
    </row>
    <row r="258" spans="1:9" x14ac:dyDescent="0.3">
      <c r="A258" t="s">
        <v>264</v>
      </c>
      <c r="B258" s="5">
        <v>45509</v>
      </c>
      <c r="C258" t="s">
        <v>511</v>
      </c>
      <c r="D258" t="s">
        <v>516</v>
      </c>
      <c r="E258" t="s">
        <v>519</v>
      </c>
      <c r="F258">
        <v>3</v>
      </c>
      <c r="G258" s="2">
        <v>3204.28</v>
      </c>
      <c r="H258" s="2">
        <v>427.67</v>
      </c>
      <c r="I258" s="4">
        <f t="shared" si="3"/>
        <v>0.1334683610670728</v>
      </c>
    </row>
    <row r="259" spans="1:9" x14ac:dyDescent="0.3">
      <c r="A259" t="s">
        <v>265</v>
      </c>
      <c r="B259" s="5">
        <v>45616</v>
      </c>
      <c r="C259" t="s">
        <v>510</v>
      </c>
      <c r="D259" t="s">
        <v>515</v>
      </c>
      <c r="E259" t="s">
        <v>517</v>
      </c>
      <c r="F259">
        <v>4</v>
      </c>
      <c r="G259" s="2">
        <v>15250.88</v>
      </c>
      <c r="H259" s="2">
        <v>3228.63</v>
      </c>
      <c r="I259" s="4">
        <f t="shared" ref="I259:I322" si="4">H259/G259</f>
        <v>0.21170122642103278</v>
      </c>
    </row>
    <row r="260" spans="1:9" x14ac:dyDescent="0.3">
      <c r="A260" t="s">
        <v>266</v>
      </c>
      <c r="B260" s="5">
        <v>45403</v>
      </c>
      <c r="C260" t="s">
        <v>510</v>
      </c>
      <c r="D260" t="s">
        <v>513</v>
      </c>
      <c r="E260" t="s">
        <v>517</v>
      </c>
      <c r="F260">
        <v>8</v>
      </c>
      <c r="G260" s="2">
        <v>8617.93</v>
      </c>
      <c r="H260" s="2">
        <v>1678.98</v>
      </c>
      <c r="I260" s="4">
        <f t="shared" si="4"/>
        <v>0.19482404707394932</v>
      </c>
    </row>
    <row r="261" spans="1:9" x14ac:dyDescent="0.3">
      <c r="A261" t="s">
        <v>267</v>
      </c>
      <c r="B261" s="5">
        <v>45544</v>
      </c>
      <c r="C261" t="s">
        <v>510</v>
      </c>
      <c r="D261" t="s">
        <v>516</v>
      </c>
      <c r="E261" t="s">
        <v>518</v>
      </c>
      <c r="F261">
        <v>9</v>
      </c>
      <c r="G261" s="2">
        <v>9637.2199999999993</v>
      </c>
      <c r="H261" s="2">
        <v>1665.89</v>
      </c>
      <c r="I261" s="4">
        <f t="shared" si="4"/>
        <v>0.17286001564766604</v>
      </c>
    </row>
    <row r="262" spans="1:9" x14ac:dyDescent="0.3">
      <c r="A262" t="s">
        <v>268</v>
      </c>
      <c r="B262" s="5">
        <v>45517</v>
      </c>
      <c r="C262" t="s">
        <v>510</v>
      </c>
      <c r="D262" t="s">
        <v>516</v>
      </c>
      <c r="E262" t="s">
        <v>519</v>
      </c>
      <c r="F262">
        <v>4</v>
      </c>
      <c r="G262" s="2">
        <v>17930.14</v>
      </c>
      <c r="H262" s="2">
        <v>1953.62</v>
      </c>
      <c r="I262" s="4">
        <f t="shared" si="4"/>
        <v>0.10895731990938164</v>
      </c>
    </row>
    <row r="263" spans="1:9" x14ac:dyDescent="0.3">
      <c r="A263" t="s">
        <v>269</v>
      </c>
      <c r="B263" s="5">
        <v>45467</v>
      </c>
      <c r="C263" t="s">
        <v>510</v>
      </c>
      <c r="D263" t="s">
        <v>513</v>
      </c>
      <c r="E263" t="s">
        <v>518</v>
      </c>
      <c r="F263">
        <v>4</v>
      </c>
      <c r="G263" s="2">
        <v>7824.83</v>
      </c>
      <c r="H263" s="2">
        <v>1818.66</v>
      </c>
      <c r="I263" s="4">
        <f t="shared" si="4"/>
        <v>0.23242166283484755</v>
      </c>
    </row>
    <row r="264" spans="1:9" x14ac:dyDescent="0.3">
      <c r="A264" t="s">
        <v>270</v>
      </c>
      <c r="B264" s="5">
        <v>45629</v>
      </c>
      <c r="C264" t="s">
        <v>510</v>
      </c>
      <c r="D264" t="s">
        <v>515</v>
      </c>
      <c r="E264" t="s">
        <v>517</v>
      </c>
      <c r="F264">
        <v>5</v>
      </c>
      <c r="G264" s="2">
        <v>14915.81</v>
      </c>
      <c r="H264" s="2">
        <v>1996.18</v>
      </c>
      <c r="I264" s="4">
        <f t="shared" si="4"/>
        <v>0.13382980877337539</v>
      </c>
    </row>
    <row r="265" spans="1:9" x14ac:dyDescent="0.3">
      <c r="A265" t="s">
        <v>271</v>
      </c>
      <c r="B265" s="5">
        <v>45496</v>
      </c>
      <c r="C265" t="s">
        <v>510</v>
      </c>
      <c r="D265" t="s">
        <v>513</v>
      </c>
      <c r="E265" t="s">
        <v>517</v>
      </c>
      <c r="F265">
        <v>9</v>
      </c>
      <c r="G265" s="2">
        <v>18083.66</v>
      </c>
      <c r="H265" s="2">
        <v>3110.58</v>
      </c>
      <c r="I265" s="4">
        <f t="shared" si="4"/>
        <v>0.17201053326594284</v>
      </c>
    </row>
    <row r="266" spans="1:9" x14ac:dyDescent="0.3">
      <c r="A266" t="s">
        <v>272</v>
      </c>
      <c r="B266" s="5">
        <v>45304</v>
      </c>
      <c r="C266" t="s">
        <v>511</v>
      </c>
      <c r="D266" t="s">
        <v>513</v>
      </c>
      <c r="E266" t="s">
        <v>517</v>
      </c>
      <c r="F266">
        <v>7</v>
      </c>
      <c r="G266" s="2">
        <v>18201.830000000002</v>
      </c>
      <c r="H266" s="2">
        <v>2456.6</v>
      </c>
      <c r="I266" s="4">
        <f t="shared" si="4"/>
        <v>0.13496445137659233</v>
      </c>
    </row>
    <row r="267" spans="1:9" x14ac:dyDescent="0.3">
      <c r="A267" t="s">
        <v>273</v>
      </c>
      <c r="B267" s="5">
        <v>45468</v>
      </c>
      <c r="C267" t="s">
        <v>509</v>
      </c>
      <c r="D267" t="s">
        <v>513</v>
      </c>
      <c r="E267" t="s">
        <v>518</v>
      </c>
      <c r="F267">
        <v>1</v>
      </c>
      <c r="G267" s="2">
        <v>13180.22</v>
      </c>
      <c r="H267" s="2">
        <v>1617.17</v>
      </c>
      <c r="I267" s="4">
        <f t="shared" si="4"/>
        <v>0.1226967379907164</v>
      </c>
    </row>
    <row r="268" spans="1:9" x14ac:dyDescent="0.3">
      <c r="A268" t="s">
        <v>274</v>
      </c>
      <c r="B268" s="5">
        <v>45432</v>
      </c>
      <c r="C268" t="s">
        <v>510</v>
      </c>
      <c r="D268" t="s">
        <v>514</v>
      </c>
      <c r="E268" t="s">
        <v>518</v>
      </c>
      <c r="F268">
        <v>2</v>
      </c>
      <c r="G268" s="2">
        <v>16383.31</v>
      </c>
      <c r="H268" s="2">
        <v>2408.61</v>
      </c>
      <c r="I268" s="4">
        <f t="shared" si="4"/>
        <v>0.1470160791683732</v>
      </c>
    </row>
    <row r="269" spans="1:9" x14ac:dyDescent="0.3">
      <c r="A269" t="s">
        <v>275</v>
      </c>
      <c r="B269" s="5">
        <v>45308</v>
      </c>
      <c r="C269" t="s">
        <v>510</v>
      </c>
      <c r="D269" t="s">
        <v>514</v>
      </c>
      <c r="E269" t="s">
        <v>517</v>
      </c>
      <c r="F269">
        <v>3</v>
      </c>
      <c r="G269" s="2">
        <v>5125.78</v>
      </c>
      <c r="H269" s="2">
        <v>941.14</v>
      </c>
      <c r="I269" s="4">
        <f t="shared" si="4"/>
        <v>0.18360912875698918</v>
      </c>
    </row>
    <row r="270" spans="1:9" x14ac:dyDescent="0.3">
      <c r="A270" t="s">
        <v>276</v>
      </c>
      <c r="B270" s="5">
        <v>45302</v>
      </c>
      <c r="C270" t="s">
        <v>510</v>
      </c>
      <c r="D270" t="s">
        <v>515</v>
      </c>
      <c r="E270" t="s">
        <v>518</v>
      </c>
      <c r="F270">
        <v>3</v>
      </c>
      <c r="G270" s="2">
        <v>11347.55</v>
      </c>
      <c r="H270" s="2">
        <v>770.09</v>
      </c>
      <c r="I270" s="4">
        <f t="shared" si="4"/>
        <v>6.7863988261783387E-2</v>
      </c>
    </row>
    <row r="271" spans="1:9" x14ac:dyDescent="0.3">
      <c r="A271" t="s">
        <v>277</v>
      </c>
      <c r="B271" s="5">
        <v>45520</v>
      </c>
      <c r="C271" t="s">
        <v>508</v>
      </c>
      <c r="D271" t="s">
        <v>514</v>
      </c>
      <c r="E271" t="s">
        <v>518</v>
      </c>
      <c r="F271">
        <v>9</v>
      </c>
      <c r="G271" s="2">
        <v>5933.98</v>
      </c>
      <c r="H271" s="2">
        <v>771.51</v>
      </c>
      <c r="I271" s="4">
        <f t="shared" si="4"/>
        <v>0.13001560504079893</v>
      </c>
    </row>
    <row r="272" spans="1:9" x14ac:dyDescent="0.3">
      <c r="A272" t="s">
        <v>278</v>
      </c>
      <c r="B272" s="5">
        <v>45444</v>
      </c>
      <c r="C272" t="s">
        <v>512</v>
      </c>
      <c r="D272" t="s">
        <v>513</v>
      </c>
      <c r="E272" t="s">
        <v>519</v>
      </c>
      <c r="F272">
        <v>3</v>
      </c>
      <c r="G272" s="2">
        <v>12200.34</v>
      </c>
      <c r="H272" s="2">
        <v>827.2</v>
      </c>
      <c r="I272" s="4">
        <f t="shared" si="4"/>
        <v>6.7801389141614085E-2</v>
      </c>
    </row>
    <row r="273" spans="1:9" x14ac:dyDescent="0.3">
      <c r="A273" t="s">
        <v>279</v>
      </c>
      <c r="B273" s="5">
        <v>45653</v>
      </c>
      <c r="C273" t="s">
        <v>508</v>
      </c>
      <c r="D273" t="s">
        <v>514</v>
      </c>
      <c r="E273" t="s">
        <v>519</v>
      </c>
      <c r="F273">
        <v>1</v>
      </c>
      <c r="G273" s="2">
        <v>1104.99</v>
      </c>
      <c r="H273" s="2">
        <v>117.73</v>
      </c>
      <c r="I273" s="4">
        <f t="shared" si="4"/>
        <v>0.10654395062398755</v>
      </c>
    </row>
    <row r="274" spans="1:9" x14ac:dyDescent="0.3">
      <c r="A274" t="s">
        <v>280</v>
      </c>
      <c r="B274" s="5">
        <v>45547</v>
      </c>
      <c r="C274" t="s">
        <v>509</v>
      </c>
      <c r="D274" t="s">
        <v>515</v>
      </c>
      <c r="E274" t="s">
        <v>517</v>
      </c>
      <c r="F274">
        <v>2</v>
      </c>
      <c r="G274" s="2">
        <v>18398.27</v>
      </c>
      <c r="H274" s="2">
        <v>3367.73</v>
      </c>
      <c r="I274" s="4">
        <f t="shared" si="4"/>
        <v>0.18304601465246462</v>
      </c>
    </row>
    <row r="275" spans="1:9" x14ac:dyDescent="0.3">
      <c r="A275" t="s">
        <v>281</v>
      </c>
      <c r="B275" s="5">
        <v>45623</v>
      </c>
      <c r="C275" t="s">
        <v>508</v>
      </c>
      <c r="D275" t="s">
        <v>514</v>
      </c>
      <c r="E275" t="s">
        <v>517</v>
      </c>
      <c r="F275">
        <v>3</v>
      </c>
      <c r="G275" s="2">
        <v>10717.51</v>
      </c>
      <c r="H275" s="2">
        <v>1511.3</v>
      </c>
      <c r="I275" s="4">
        <f t="shared" si="4"/>
        <v>0.14101223138583494</v>
      </c>
    </row>
    <row r="276" spans="1:9" x14ac:dyDescent="0.3">
      <c r="A276" t="s">
        <v>282</v>
      </c>
      <c r="B276" s="5">
        <v>45421</v>
      </c>
      <c r="C276" t="s">
        <v>509</v>
      </c>
      <c r="D276" t="s">
        <v>516</v>
      </c>
      <c r="E276" t="s">
        <v>517</v>
      </c>
      <c r="F276">
        <v>10</v>
      </c>
      <c r="G276" s="2">
        <v>8883.06</v>
      </c>
      <c r="H276" s="2">
        <v>500.31</v>
      </c>
      <c r="I276" s="4">
        <f t="shared" si="4"/>
        <v>5.6321808025612798E-2</v>
      </c>
    </row>
    <row r="277" spans="1:9" x14ac:dyDescent="0.3">
      <c r="A277" t="s">
        <v>283</v>
      </c>
      <c r="B277" s="5">
        <v>45649</v>
      </c>
      <c r="C277" t="s">
        <v>511</v>
      </c>
      <c r="D277" t="s">
        <v>516</v>
      </c>
      <c r="E277" t="s">
        <v>519</v>
      </c>
      <c r="F277">
        <v>2</v>
      </c>
      <c r="G277" s="2">
        <v>1511.44</v>
      </c>
      <c r="H277" s="2">
        <v>186.32</v>
      </c>
      <c r="I277" s="4">
        <f t="shared" si="4"/>
        <v>0.12327316995712696</v>
      </c>
    </row>
    <row r="278" spans="1:9" x14ac:dyDescent="0.3">
      <c r="A278" t="s">
        <v>284</v>
      </c>
      <c r="B278" s="5">
        <v>45609</v>
      </c>
      <c r="C278" t="s">
        <v>512</v>
      </c>
      <c r="D278" t="s">
        <v>514</v>
      </c>
      <c r="E278" t="s">
        <v>517</v>
      </c>
      <c r="F278">
        <v>7</v>
      </c>
      <c r="G278" s="2">
        <v>3218.36</v>
      </c>
      <c r="H278" s="2">
        <v>457.99</v>
      </c>
      <c r="I278" s="4">
        <f t="shared" si="4"/>
        <v>0.1423053977802359</v>
      </c>
    </row>
    <row r="279" spans="1:9" x14ac:dyDescent="0.3">
      <c r="A279" t="s">
        <v>285</v>
      </c>
      <c r="B279" s="5">
        <v>45645</v>
      </c>
      <c r="C279" t="s">
        <v>510</v>
      </c>
      <c r="D279" t="s">
        <v>515</v>
      </c>
      <c r="E279" t="s">
        <v>517</v>
      </c>
      <c r="F279">
        <v>5</v>
      </c>
      <c r="G279" s="2">
        <v>15916.41</v>
      </c>
      <c r="H279" s="2">
        <v>3024.17</v>
      </c>
      <c r="I279" s="4">
        <f t="shared" si="4"/>
        <v>0.19000327335121425</v>
      </c>
    </row>
    <row r="280" spans="1:9" x14ac:dyDescent="0.3">
      <c r="A280" t="s">
        <v>286</v>
      </c>
      <c r="B280" s="5">
        <v>45507</v>
      </c>
      <c r="C280" t="s">
        <v>509</v>
      </c>
      <c r="D280" t="s">
        <v>515</v>
      </c>
      <c r="E280" t="s">
        <v>517</v>
      </c>
      <c r="F280">
        <v>7</v>
      </c>
      <c r="G280" s="2">
        <v>15410.05</v>
      </c>
      <c r="H280" s="2">
        <v>3307.07</v>
      </c>
      <c r="I280" s="4">
        <f t="shared" si="4"/>
        <v>0.21460475468930992</v>
      </c>
    </row>
    <row r="281" spans="1:9" x14ac:dyDescent="0.3">
      <c r="A281" t="s">
        <v>287</v>
      </c>
      <c r="B281" s="5">
        <v>45463</v>
      </c>
      <c r="C281" t="s">
        <v>508</v>
      </c>
      <c r="D281" t="s">
        <v>516</v>
      </c>
      <c r="E281" t="s">
        <v>518</v>
      </c>
      <c r="F281">
        <v>1</v>
      </c>
      <c r="G281" s="2">
        <v>13514.94</v>
      </c>
      <c r="H281" s="2">
        <v>1632.96</v>
      </c>
      <c r="I281" s="4">
        <f t="shared" si="4"/>
        <v>0.12082628557729445</v>
      </c>
    </row>
    <row r="282" spans="1:9" x14ac:dyDescent="0.3">
      <c r="A282" t="s">
        <v>288</v>
      </c>
      <c r="B282" s="5">
        <v>45529</v>
      </c>
      <c r="C282" t="s">
        <v>511</v>
      </c>
      <c r="D282" t="s">
        <v>516</v>
      </c>
      <c r="E282" t="s">
        <v>518</v>
      </c>
      <c r="F282">
        <v>2</v>
      </c>
      <c r="G282" s="2">
        <v>8169.52</v>
      </c>
      <c r="H282" s="2">
        <v>483.15</v>
      </c>
      <c r="I282" s="4">
        <f t="shared" si="4"/>
        <v>5.9140561501777329E-2</v>
      </c>
    </row>
    <row r="283" spans="1:9" x14ac:dyDescent="0.3">
      <c r="A283" t="s">
        <v>289</v>
      </c>
      <c r="B283" s="5">
        <v>45532</v>
      </c>
      <c r="C283" t="s">
        <v>511</v>
      </c>
      <c r="D283" t="s">
        <v>514</v>
      </c>
      <c r="E283" t="s">
        <v>518</v>
      </c>
      <c r="F283">
        <v>8</v>
      </c>
      <c r="G283" s="2">
        <v>3641.42</v>
      </c>
      <c r="H283" s="2">
        <v>682.14</v>
      </c>
      <c r="I283" s="4">
        <f t="shared" si="4"/>
        <v>0.18732802038765095</v>
      </c>
    </row>
    <row r="284" spans="1:9" x14ac:dyDescent="0.3">
      <c r="A284" t="s">
        <v>290</v>
      </c>
      <c r="B284" s="5">
        <v>45364</v>
      </c>
      <c r="C284" t="s">
        <v>510</v>
      </c>
      <c r="D284" t="s">
        <v>513</v>
      </c>
      <c r="E284" t="s">
        <v>519</v>
      </c>
      <c r="F284">
        <v>5</v>
      </c>
      <c r="G284" s="2">
        <v>3256.89</v>
      </c>
      <c r="H284" s="2">
        <v>324.11</v>
      </c>
      <c r="I284" s="4">
        <f t="shared" si="4"/>
        <v>9.9515181661032459E-2</v>
      </c>
    </row>
    <row r="285" spans="1:9" x14ac:dyDescent="0.3">
      <c r="A285" t="s">
        <v>291</v>
      </c>
      <c r="B285" s="5">
        <v>45348</v>
      </c>
      <c r="C285" t="s">
        <v>510</v>
      </c>
      <c r="D285" t="s">
        <v>513</v>
      </c>
      <c r="E285" t="s">
        <v>519</v>
      </c>
      <c r="F285">
        <v>4</v>
      </c>
      <c r="G285" s="2">
        <v>11165.66</v>
      </c>
      <c r="H285" s="2">
        <v>1923.99</v>
      </c>
      <c r="I285" s="4">
        <f t="shared" si="4"/>
        <v>0.17231314584180424</v>
      </c>
    </row>
    <row r="286" spans="1:9" x14ac:dyDescent="0.3">
      <c r="A286" t="s">
        <v>292</v>
      </c>
      <c r="B286" s="5">
        <v>45524</v>
      </c>
      <c r="C286" t="s">
        <v>510</v>
      </c>
      <c r="D286" t="s">
        <v>515</v>
      </c>
      <c r="E286" t="s">
        <v>519</v>
      </c>
      <c r="F286">
        <v>9</v>
      </c>
      <c r="G286" s="2">
        <v>14608.55</v>
      </c>
      <c r="H286" s="2">
        <v>3561.43</v>
      </c>
      <c r="I286" s="4">
        <f t="shared" si="4"/>
        <v>0.24379079374749718</v>
      </c>
    </row>
    <row r="287" spans="1:9" x14ac:dyDescent="0.3">
      <c r="A287" t="s">
        <v>293</v>
      </c>
      <c r="B287" s="5">
        <v>45539</v>
      </c>
      <c r="C287" t="s">
        <v>512</v>
      </c>
      <c r="D287" t="s">
        <v>514</v>
      </c>
      <c r="E287" t="s">
        <v>518</v>
      </c>
      <c r="F287">
        <v>8</v>
      </c>
      <c r="G287" s="2">
        <v>9694.0499999999993</v>
      </c>
      <c r="H287" s="2">
        <v>1543.92</v>
      </c>
      <c r="I287" s="4">
        <f t="shared" si="4"/>
        <v>0.15926470360685163</v>
      </c>
    </row>
    <row r="288" spans="1:9" x14ac:dyDescent="0.3">
      <c r="A288" t="s">
        <v>294</v>
      </c>
      <c r="B288" s="5">
        <v>45608</v>
      </c>
      <c r="C288" t="s">
        <v>512</v>
      </c>
      <c r="D288" t="s">
        <v>515</v>
      </c>
      <c r="E288" t="s">
        <v>517</v>
      </c>
      <c r="F288">
        <v>8</v>
      </c>
      <c r="G288" s="2">
        <v>4000.58</v>
      </c>
      <c r="H288" s="2">
        <v>275.17</v>
      </c>
      <c r="I288" s="4">
        <f t="shared" si="4"/>
        <v>6.8782526533652619E-2</v>
      </c>
    </row>
    <row r="289" spans="1:9" x14ac:dyDescent="0.3">
      <c r="A289" t="s">
        <v>295</v>
      </c>
      <c r="B289" s="5">
        <v>45440</v>
      </c>
      <c r="C289" t="s">
        <v>508</v>
      </c>
      <c r="D289" t="s">
        <v>516</v>
      </c>
      <c r="E289" t="s">
        <v>518</v>
      </c>
      <c r="F289">
        <v>1</v>
      </c>
      <c r="G289" s="2">
        <v>8396.6</v>
      </c>
      <c r="H289" s="2">
        <v>1618.73</v>
      </c>
      <c r="I289" s="4">
        <f t="shared" si="4"/>
        <v>0.19278398399352117</v>
      </c>
    </row>
    <row r="290" spans="1:9" x14ac:dyDescent="0.3">
      <c r="A290" t="s">
        <v>296</v>
      </c>
      <c r="B290" s="5">
        <v>45465</v>
      </c>
      <c r="C290" t="s">
        <v>512</v>
      </c>
      <c r="D290" t="s">
        <v>513</v>
      </c>
      <c r="E290" t="s">
        <v>518</v>
      </c>
      <c r="F290">
        <v>6</v>
      </c>
      <c r="G290" s="2">
        <v>15295.02</v>
      </c>
      <c r="H290" s="2">
        <v>3800.03</v>
      </c>
      <c r="I290" s="4">
        <f t="shared" si="4"/>
        <v>0.24844884151835042</v>
      </c>
    </row>
    <row r="291" spans="1:9" x14ac:dyDescent="0.3">
      <c r="A291" t="s">
        <v>297</v>
      </c>
      <c r="B291" s="5">
        <v>45420</v>
      </c>
      <c r="C291" t="s">
        <v>510</v>
      </c>
      <c r="D291" t="s">
        <v>513</v>
      </c>
      <c r="E291" t="s">
        <v>519</v>
      </c>
      <c r="F291">
        <v>5</v>
      </c>
      <c r="G291" s="2">
        <v>5728.99</v>
      </c>
      <c r="H291" s="2">
        <v>329.04</v>
      </c>
      <c r="I291" s="4">
        <f t="shared" si="4"/>
        <v>5.7434207425741714E-2</v>
      </c>
    </row>
    <row r="292" spans="1:9" x14ac:dyDescent="0.3">
      <c r="A292" t="s">
        <v>298</v>
      </c>
      <c r="B292" s="5">
        <v>45560</v>
      </c>
      <c r="C292" t="s">
        <v>509</v>
      </c>
      <c r="D292" t="s">
        <v>513</v>
      </c>
      <c r="E292" t="s">
        <v>517</v>
      </c>
      <c r="F292">
        <v>1</v>
      </c>
      <c r="G292" s="2">
        <v>12101.88</v>
      </c>
      <c r="H292" s="2">
        <v>2329.25</v>
      </c>
      <c r="I292" s="4">
        <f t="shared" si="4"/>
        <v>0.19247009555540132</v>
      </c>
    </row>
    <row r="293" spans="1:9" x14ac:dyDescent="0.3">
      <c r="A293" t="s">
        <v>299</v>
      </c>
      <c r="B293" s="5">
        <v>45518</v>
      </c>
      <c r="C293" t="s">
        <v>512</v>
      </c>
      <c r="D293" t="s">
        <v>514</v>
      </c>
      <c r="E293" t="s">
        <v>519</v>
      </c>
      <c r="F293">
        <v>9</v>
      </c>
      <c r="G293" s="2">
        <v>16661.330000000002</v>
      </c>
      <c r="H293" s="2">
        <v>2784.27</v>
      </c>
      <c r="I293" s="4">
        <f t="shared" si="4"/>
        <v>0.16710970852867085</v>
      </c>
    </row>
    <row r="294" spans="1:9" x14ac:dyDescent="0.3">
      <c r="A294" t="s">
        <v>300</v>
      </c>
      <c r="B294" s="5">
        <v>45427</v>
      </c>
      <c r="C294" t="s">
        <v>510</v>
      </c>
      <c r="D294" t="s">
        <v>513</v>
      </c>
      <c r="E294" t="s">
        <v>518</v>
      </c>
      <c r="F294">
        <v>7</v>
      </c>
      <c r="G294" s="2">
        <v>13555.17</v>
      </c>
      <c r="H294" s="2">
        <v>2427.42</v>
      </c>
      <c r="I294" s="4">
        <f t="shared" si="4"/>
        <v>0.17907706063442952</v>
      </c>
    </row>
    <row r="295" spans="1:9" x14ac:dyDescent="0.3">
      <c r="A295" t="s">
        <v>301</v>
      </c>
      <c r="B295" s="5">
        <v>45627</v>
      </c>
      <c r="C295" t="s">
        <v>511</v>
      </c>
      <c r="D295" t="s">
        <v>513</v>
      </c>
      <c r="E295" t="s">
        <v>517</v>
      </c>
      <c r="F295">
        <v>4</v>
      </c>
      <c r="G295" s="2">
        <v>3739.95</v>
      </c>
      <c r="H295" s="2">
        <v>432.75</v>
      </c>
      <c r="I295" s="4">
        <f t="shared" si="4"/>
        <v>0.11571010307624434</v>
      </c>
    </row>
    <row r="296" spans="1:9" x14ac:dyDescent="0.3">
      <c r="A296" t="s">
        <v>302</v>
      </c>
      <c r="B296" s="5">
        <v>45414</v>
      </c>
      <c r="C296" t="s">
        <v>512</v>
      </c>
      <c r="D296" t="s">
        <v>514</v>
      </c>
      <c r="E296" t="s">
        <v>519</v>
      </c>
      <c r="F296">
        <v>4</v>
      </c>
      <c r="G296" s="2">
        <v>1007.25</v>
      </c>
      <c r="H296" s="2">
        <v>165.54</v>
      </c>
      <c r="I296" s="4">
        <f t="shared" si="4"/>
        <v>0.16434847356664184</v>
      </c>
    </row>
    <row r="297" spans="1:9" x14ac:dyDescent="0.3">
      <c r="A297" t="s">
        <v>303</v>
      </c>
      <c r="B297" s="5">
        <v>45557</v>
      </c>
      <c r="C297" t="s">
        <v>512</v>
      </c>
      <c r="D297" t="s">
        <v>514</v>
      </c>
      <c r="E297" t="s">
        <v>517</v>
      </c>
      <c r="F297">
        <v>9</v>
      </c>
      <c r="G297" s="2">
        <v>5834.36</v>
      </c>
      <c r="H297" s="2">
        <v>1085.48</v>
      </c>
      <c r="I297" s="4">
        <f t="shared" si="4"/>
        <v>0.18604954099507059</v>
      </c>
    </row>
    <row r="298" spans="1:9" x14ac:dyDescent="0.3">
      <c r="A298" t="s">
        <v>304</v>
      </c>
      <c r="B298" s="5">
        <v>45622</v>
      </c>
      <c r="C298" t="s">
        <v>510</v>
      </c>
      <c r="D298" t="s">
        <v>516</v>
      </c>
      <c r="E298" t="s">
        <v>517</v>
      </c>
      <c r="F298">
        <v>4</v>
      </c>
      <c r="G298" s="2">
        <v>13455.33</v>
      </c>
      <c r="H298" s="2">
        <v>683.3</v>
      </c>
      <c r="I298" s="4">
        <f t="shared" si="4"/>
        <v>5.0782849621674085E-2</v>
      </c>
    </row>
    <row r="299" spans="1:9" x14ac:dyDescent="0.3">
      <c r="A299" t="s">
        <v>305</v>
      </c>
      <c r="B299" s="5">
        <v>45300</v>
      </c>
      <c r="C299" t="s">
        <v>512</v>
      </c>
      <c r="D299" t="s">
        <v>515</v>
      </c>
      <c r="E299" t="s">
        <v>517</v>
      </c>
      <c r="F299">
        <v>2</v>
      </c>
      <c r="G299" s="2">
        <v>1100.1300000000001</v>
      </c>
      <c r="H299" s="2">
        <v>196.05</v>
      </c>
      <c r="I299" s="4">
        <f t="shared" si="4"/>
        <v>0.17820621199312808</v>
      </c>
    </row>
    <row r="300" spans="1:9" x14ac:dyDescent="0.3">
      <c r="A300" t="s">
        <v>306</v>
      </c>
      <c r="B300" s="5">
        <v>45551</v>
      </c>
      <c r="C300" t="s">
        <v>509</v>
      </c>
      <c r="D300" t="s">
        <v>516</v>
      </c>
      <c r="E300" t="s">
        <v>519</v>
      </c>
      <c r="F300">
        <v>6</v>
      </c>
      <c r="G300" s="2">
        <v>5236.2299999999996</v>
      </c>
      <c r="H300" s="2">
        <v>809.37</v>
      </c>
      <c r="I300" s="4">
        <f t="shared" si="4"/>
        <v>0.15457113228410518</v>
      </c>
    </row>
    <row r="301" spans="1:9" x14ac:dyDescent="0.3">
      <c r="A301" t="s">
        <v>307</v>
      </c>
      <c r="B301" s="5">
        <v>45552</v>
      </c>
      <c r="C301" t="s">
        <v>509</v>
      </c>
      <c r="D301" t="s">
        <v>515</v>
      </c>
      <c r="E301" t="s">
        <v>518</v>
      </c>
      <c r="F301">
        <v>1</v>
      </c>
      <c r="G301" s="2">
        <v>5862.63</v>
      </c>
      <c r="H301" s="2">
        <v>546.39</v>
      </c>
      <c r="I301" s="4">
        <f t="shared" si="4"/>
        <v>9.3198786210284462E-2</v>
      </c>
    </row>
    <row r="302" spans="1:9" x14ac:dyDescent="0.3">
      <c r="A302" t="s">
        <v>308</v>
      </c>
      <c r="B302" s="5">
        <v>45469</v>
      </c>
      <c r="C302" t="s">
        <v>510</v>
      </c>
      <c r="D302" t="s">
        <v>513</v>
      </c>
      <c r="E302" t="s">
        <v>517</v>
      </c>
      <c r="F302">
        <v>2</v>
      </c>
      <c r="G302" s="2">
        <v>867.15</v>
      </c>
      <c r="H302" s="2">
        <v>58.85</v>
      </c>
      <c r="I302" s="4">
        <f t="shared" si="4"/>
        <v>6.7865997808914266E-2</v>
      </c>
    </row>
    <row r="303" spans="1:9" x14ac:dyDescent="0.3">
      <c r="A303" t="s">
        <v>309</v>
      </c>
      <c r="B303" s="5">
        <v>45527</v>
      </c>
      <c r="C303" t="s">
        <v>510</v>
      </c>
      <c r="D303" t="s">
        <v>513</v>
      </c>
      <c r="E303" t="s">
        <v>517</v>
      </c>
      <c r="F303">
        <v>4</v>
      </c>
      <c r="G303" s="2">
        <v>8921.94</v>
      </c>
      <c r="H303" s="2">
        <v>1431.18</v>
      </c>
      <c r="I303" s="4">
        <f t="shared" si="4"/>
        <v>0.16041130068124196</v>
      </c>
    </row>
    <row r="304" spans="1:9" x14ac:dyDescent="0.3">
      <c r="A304" t="s">
        <v>310</v>
      </c>
      <c r="B304" s="5">
        <v>45483</v>
      </c>
      <c r="C304" t="s">
        <v>512</v>
      </c>
      <c r="D304" t="s">
        <v>513</v>
      </c>
      <c r="E304" t="s">
        <v>519</v>
      </c>
      <c r="F304">
        <v>10</v>
      </c>
      <c r="G304" s="2">
        <v>13999.33</v>
      </c>
      <c r="H304" s="2">
        <v>1640.52</v>
      </c>
      <c r="I304" s="4">
        <f t="shared" si="4"/>
        <v>0.11718560816839091</v>
      </c>
    </row>
    <row r="305" spans="1:9" x14ac:dyDescent="0.3">
      <c r="A305" t="s">
        <v>311</v>
      </c>
      <c r="B305" s="5">
        <v>45495</v>
      </c>
      <c r="C305" t="s">
        <v>508</v>
      </c>
      <c r="D305" t="s">
        <v>515</v>
      </c>
      <c r="E305" t="s">
        <v>518</v>
      </c>
      <c r="F305">
        <v>8</v>
      </c>
      <c r="G305" s="2">
        <v>7574.96</v>
      </c>
      <c r="H305" s="2">
        <v>1201.97</v>
      </c>
      <c r="I305" s="4">
        <f t="shared" si="4"/>
        <v>0.15867674548776495</v>
      </c>
    </row>
    <row r="306" spans="1:9" x14ac:dyDescent="0.3">
      <c r="A306" t="s">
        <v>312</v>
      </c>
      <c r="B306" s="5">
        <v>45604</v>
      </c>
      <c r="C306" t="s">
        <v>512</v>
      </c>
      <c r="D306" t="s">
        <v>515</v>
      </c>
      <c r="E306" t="s">
        <v>519</v>
      </c>
      <c r="F306">
        <v>4</v>
      </c>
      <c r="G306" s="2">
        <v>11807.52</v>
      </c>
      <c r="H306" s="2">
        <v>1103.0899999999999</v>
      </c>
      <c r="I306" s="4">
        <f t="shared" si="4"/>
        <v>9.3422666233044696E-2</v>
      </c>
    </row>
    <row r="307" spans="1:9" x14ac:dyDescent="0.3">
      <c r="A307" t="s">
        <v>313</v>
      </c>
      <c r="B307" s="5">
        <v>45471</v>
      </c>
      <c r="C307" t="s">
        <v>510</v>
      </c>
      <c r="D307" t="s">
        <v>515</v>
      </c>
      <c r="E307" t="s">
        <v>517</v>
      </c>
      <c r="F307">
        <v>2</v>
      </c>
      <c r="G307" s="2">
        <v>14469.9</v>
      </c>
      <c r="H307" s="2">
        <v>2224.9</v>
      </c>
      <c r="I307" s="4">
        <f t="shared" si="4"/>
        <v>0.15376056503500371</v>
      </c>
    </row>
    <row r="308" spans="1:9" x14ac:dyDescent="0.3">
      <c r="A308" t="s">
        <v>314</v>
      </c>
      <c r="B308" s="5">
        <v>45450</v>
      </c>
      <c r="C308" t="s">
        <v>512</v>
      </c>
      <c r="D308" t="s">
        <v>515</v>
      </c>
      <c r="E308" t="s">
        <v>519</v>
      </c>
      <c r="F308">
        <v>1</v>
      </c>
      <c r="G308" s="2">
        <v>11644.06</v>
      </c>
      <c r="H308" s="2">
        <v>2236.91</v>
      </c>
      <c r="I308" s="4">
        <f t="shared" si="4"/>
        <v>0.19210739209519703</v>
      </c>
    </row>
    <row r="309" spans="1:9" x14ac:dyDescent="0.3">
      <c r="A309" t="s">
        <v>315</v>
      </c>
      <c r="B309" s="5">
        <v>45323</v>
      </c>
      <c r="C309" t="s">
        <v>511</v>
      </c>
      <c r="D309" t="s">
        <v>516</v>
      </c>
      <c r="E309" t="s">
        <v>517</v>
      </c>
      <c r="F309">
        <v>8</v>
      </c>
      <c r="G309" s="2">
        <v>17251.13</v>
      </c>
      <c r="H309" s="2">
        <v>1946.44</v>
      </c>
      <c r="I309" s="4">
        <f t="shared" si="4"/>
        <v>0.11282971028564505</v>
      </c>
    </row>
    <row r="310" spans="1:9" x14ac:dyDescent="0.3">
      <c r="A310" t="s">
        <v>316</v>
      </c>
      <c r="B310" s="5">
        <v>45530</v>
      </c>
      <c r="C310" t="s">
        <v>511</v>
      </c>
      <c r="D310" t="s">
        <v>513</v>
      </c>
      <c r="E310" t="s">
        <v>519</v>
      </c>
      <c r="F310">
        <v>4</v>
      </c>
      <c r="G310" s="2">
        <v>8084.75</v>
      </c>
      <c r="H310" s="2">
        <v>1628.6</v>
      </c>
      <c r="I310" s="4">
        <f t="shared" si="4"/>
        <v>0.20144098456971457</v>
      </c>
    </row>
    <row r="311" spans="1:9" x14ac:dyDescent="0.3">
      <c r="A311" t="s">
        <v>317</v>
      </c>
      <c r="B311" s="5">
        <v>45638</v>
      </c>
      <c r="C311" t="s">
        <v>510</v>
      </c>
      <c r="D311" t="s">
        <v>513</v>
      </c>
      <c r="E311" t="s">
        <v>517</v>
      </c>
      <c r="F311">
        <v>7</v>
      </c>
      <c r="G311" s="2">
        <v>8624.75</v>
      </c>
      <c r="H311" s="2">
        <v>1356.92</v>
      </c>
      <c r="I311" s="4">
        <f t="shared" si="4"/>
        <v>0.15732861822081801</v>
      </c>
    </row>
    <row r="312" spans="1:9" x14ac:dyDescent="0.3">
      <c r="A312" t="s">
        <v>318</v>
      </c>
      <c r="B312" s="5">
        <v>45374</v>
      </c>
      <c r="C312" t="s">
        <v>511</v>
      </c>
      <c r="D312" t="s">
        <v>513</v>
      </c>
      <c r="E312" t="s">
        <v>518</v>
      </c>
      <c r="F312">
        <v>7</v>
      </c>
      <c r="G312" s="2">
        <v>19514.79</v>
      </c>
      <c r="H312" s="2">
        <v>4128.6400000000003</v>
      </c>
      <c r="I312" s="4">
        <f t="shared" si="4"/>
        <v>0.21156466454417394</v>
      </c>
    </row>
    <row r="313" spans="1:9" x14ac:dyDescent="0.3">
      <c r="A313" t="s">
        <v>319</v>
      </c>
      <c r="B313" s="5">
        <v>45579</v>
      </c>
      <c r="C313" t="s">
        <v>508</v>
      </c>
      <c r="D313" t="s">
        <v>513</v>
      </c>
      <c r="E313" t="s">
        <v>517</v>
      </c>
      <c r="F313">
        <v>6</v>
      </c>
      <c r="G313" s="2">
        <v>11437.37</v>
      </c>
      <c r="H313" s="2">
        <v>1427.71</v>
      </c>
      <c r="I313" s="4">
        <f t="shared" si="4"/>
        <v>0.12482852264113166</v>
      </c>
    </row>
    <row r="314" spans="1:9" x14ac:dyDescent="0.3">
      <c r="A314" t="s">
        <v>320</v>
      </c>
      <c r="B314" s="5">
        <v>45307</v>
      </c>
      <c r="C314" t="s">
        <v>508</v>
      </c>
      <c r="D314" t="s">
        <v>515</v>
      </c>
      <c r="E314" t="s">
        <v>518</v>
      </c>
      <c r="F314">
        <v>4</v>
      </c>
      <c r="G314" s="2">
        <v>3821.27</v>
      </c>
      <c r="H314" s="2">
        <v>324.22000000000003</v>
      </c>
      <c r="I314" s="4">
        <f t="shared" si="4"/>
        <v>8.4846137540660574E-2</v>
      </c>
    </row>
    <row r="315" spans="1:9" x14ac:dyDescent="0.3">
      <c r="A315" t="s">
        <v>321</v>
      </c>
      <c r="B315" s="5">
        <v>45633</v>
      </c>
      <c r="C315" t="s">
        <v>511</v>
      </c>
      <c r="D315" t="s">
        <v>514</v>
      </c>
      <c r="E315" t="s">
        <v>517</v>
      </c>
      <c r="F315">
        <v>1</v>
      </c>
      <c r="G315" s="2">
        <v>13236.48</v>
      </c>
      <c r="H315" s="2">
        <v>695.08</v>
      </c>
      <c r="I315" s="4">
        <f t="shared" si="4"/>
        <v>5.2512450439996139E-2</v>
      </c>
    </row>
    <row r="316" spans="1:9" x14ac:dyDescent="0.3">
      <c r="A316" t="s">
        <v>322</v>
      </c>
      <c r="B316" s="5">
        <v>45432</v>
      </c>
      <c r="C316" t="s">
        <v>512</v>
      </c>
      <c r="D316" t="s">
        <v>514</v>
      </c>
      <c r="E316" t="s">
        <v>518</v>
      </c>
      <c r="F316">
        <v>5</v>
      </c>
      <c r="G316" s="2">
        <v>10690.55</v>
      </c>
      <c r="H316" s="2">
        <v>1815.88</v>
      </c>
      <c r="I316" s="4">
        <f t="shared" si="4"/>
        <v>0.16985842636721218</v>
      </c>
    </row>
    <row r="317" spans="1:9" x14ac:dyDescent="0.3">
      <c r="A317" t="s">
        <v>323</v>
      </c>
      <c r="B317" s="5">
        <v>45396</v>
      </c>
      <c r="C317" t="s">
        <v>512</v>
      </c>
      <c r="D317" t="s">
        <v>514</v>
      </c>
      <c r="E317" t="s">
        <v>517</v>
      </c>
      <c r="F317">
        <v>8</v>
      </c>
      <c r="G317" s="2">
        <v>2871.36</v>
      </c>
      <c r="H317" s="2">
        <v>157.13999999999999</v>
      </c>
      <c r="I317" s="4">
        <f t="shared" si="4"/>
        <v>5.4726680040120351E-2</v>
      </c>
    </row>
    <row r="318" spans="1:9" x14ac:dyDescent="0.3">
      <c r="A318" t="s">
        <v>324</v>
      </c>
      <c r="B318" s="5">
        <v>45609</v>
      </c>
      <c r="C318" t="s">
        <v>511</v>
      </c>
      <c r="D318" t="s">
        <v>515</v>
      </c>
      <c r="E318" t="s">
        <v>518</v>
      </c>
      <c r="F318">
        <v>3</v>
      </c>
      <c r="G318" s="2">
        <v>517.87</v>
      </c>
      <c r="H318" s="2">
        <v>128.94</v>
      </c>
      <c r="I318" s="4">
        <f t="shared" si="4"/>
        <v>0.24898140459960993</v>
      </c>
    </row>
    <row r="319" spans="1:9" x14ac:dyDescent="0.3">
      <c r="A319" t="s">
        <v>325</v>
      </c>
      <c r="B319" s="5">
        <v>45590</v>
      </c>
      <c r="C319" t="s">
        <v>510</v>
      </c>
      <c r="D319" t="s">
        <v>514</v>
      </c>
      <c r="E319" t="s">
        <v>517</v>
      </c>
      <c r="F319">
        <v>8</v>
      </c>
      <c r="G319" s="2">
        <v>8288.82</v>
      </c>
      <c r="H319" s="2">
        <v>668.96</v>
      </c>
      <c r="I319" s="4">
        <f t="shared" si="4"/>
        <v>8.07063007762263E-2</v>
      </c>
    </row>
    <row r="320" spans="1:9" x14ac:dyDescent="0.3">
      <c r="A320" t="s">
        <v>326</v>
      </c>
      <c r="B320" s="5">
        <v>45551</v>
      </c>
      <c r="C320" t="s">
        <v>509</v>
      </c>
      <c r="D320" t="s">
        <v>514</v>
      </c>
      <c r="E320" t="s">
        <v>517</v>
      </c>
      <c r="F320">
        <v>10</v>
      </c>
      <c r="G320" s="2">
        <v>8919.34</v>
      </c>
      <c r="H320" s="2">
        <v>879.09</v>
      </c>
      <c r="I320" s="4">
        <f t="shared" si="4"/>
        <v>9.8559983137765803E-2</v>
      </c>
    </row>
    <row r="321" spans="1:9" x14ac:dyDescent="0.3">
      <c r="A321" t="s">
        <v>327</v>
      </c>
      <c r="B321" s="5">
        <v>45482</v>
      </c>
      <c r="C321" t="s">
        <v>509</v>
      </c>
      <c r="D321" t="s">
        <v>513</v>
      </c>
      <c r="E321" t="s">
        <v>517</v>
      </c>
      <c r="F321">
        <v>2</v>
      </c>
      <c r="G321" s="2">
        <v>5524.73</v>
      </c>
      <c r="H321" s="2">
        <v>533.82000000000005</v>
      </c>
      <c r="I321" s="4">
        <f t="shared" si="4"/>
        <v>9.6623726408349389E-2</v>
      </c>
    </row>
    <row r="322" spans="1:9" x14ac:dyDescent="0.3">
      <c r="A322" t="s">
        <v>328</v>
      </c>
      <c r="B322" s="5">
        <v>45620</v>
      </c>
      <c r="C322" t="s">
        <v>511</v>
      </c>
      <c r="D322" t="s">
        <v>514</v>
      </c>
      <c r="E322" t="s">
        <v>519</v>
      </c>
      <c r="F322">
        <v>5</v>
      </c>
      <c r="G322" s="2">
        <v>9233.43</v>
      </c>
      <c r="H322" s="2">
        <v>1017.25</v>
      </c>
      <c r="I322" s="4">
        <f t="shared" si="4"/>
        <v>0.11017032673665149</v>
      </c>
    </row>
    <row r="323" spans="1:9" x14ac:dyDescent="0.3">
      <c r="A323" t="s">
        <v>329</v>
      </c>
      <c r="B323" s="5">
        <v>45413</v>
      </c>
      <c r="C323" t="s">
        <v>508</v>
      </c>
      <c r="D323" t="s">
        <v>513</v>
      </c>
      <c r="E323" t="s">
        <v>519</v>
      </c>
      <c r="F323">
        <v>8</v>
      </c>
      <c r="G323" s="2">
        <v>16890.95</v>
      </c>
      <c r="H323" s="2">
        <v>1918.72</v>
      </c>
      <c r="I323" s="4">
        <f t="shared" ref="I323:I386" si="5">H323/G323</f>
        <v>0.11359455803255589</v>
      </c>
    </row>
    <row r="324" spans="1:9" x14ac:dyDescent="0.3">
      <c r="A324" t="s">
        <v>330</v>
      </c>
      <c r="B324" s="5">
        <v>45590</v>
      </c>
      <c r="C324" t="s">
        <v>509</v>
      </c>
      <c r="D324" t="s">
        <v>514</v>
      </c>
      <c r="E324" t="s">
        <v>518</v>
      </c>
      <c r="F324">
        <v>3</v>
      </c>
      <c r="G324" s="2">
        <v>14316.89</v>
      </c>
      <c r="H324" s="2">
        <v>1831.06</v>
      </c>
      <c r="I324" s="4">
        <f t="shared" si="5"/>
        <v>0.12789509453519585</v>
      </c>
    </row>
    <row r="325" spans="1:9" x14ac:dyDescent="0.3">
      <c r="A325" t="s">
        <v>331</v>
      </c>
      <c r="B325" s="5">
        <v>45356</v>
      </c>
      <c r="C325" t="s">
        <v>511</v>
      </c>
      <c r="D325" t="s">
        <v>513</v>
      </c>
      <c r="E325" t="s">
        <v>517</v>
      </c>
      <c r="F325">
        <v>10</v>
      </c>
      <c r="G325" s="2">
        <v>4705.67</v>
      </c>
      <c r="H325" s="2">
        <v>1095.1600000000001</v>
      </c>
      <c r="I325" s="4">
        <f t="shared" si="5"/>
        <v>0.23273200203159169</v>
      </c>
    </row>
    <row r="326" spans="1:9" x14ac:dyDescent="0.3">
      <c r="A326" t="s">
        <v>332</v>
      </c>
      <c r="B326" s="5">
        <v>45422</v>
      </c>
      <c r="C326" t="s">
        <v>510</v>
      </c>
      <c r="D326" t="s">
        <v>516</v>
      </c>
      <c r="E326" t="s">
        <v>517</v>
      </c>
      <c r="F326">
        <v>1</v>
      </c>
      <c r="G326" s="2">
        <v>12671.5</v>
      </c>
      <c r="H326" s="2">
        <v>3163.66</v>
      </c>
      <c r="I326" s="4">
        <f t="shared" si="5"/>
        <v>0.2496673637690881</v>
      </c>
    </row>
    <row r="327" spans="1:9" x14ac:dyDescent="0.3">
      <c r="A327" t="s">
        <v>333</v>
      </c>
      <c r="B327" s="5">
        <v>45474</v>
      </c>
      <c r="C327" t="s">
        <v>508</v>
      </c>
      <c r="D327" t="s">
        <v>515</v>
      </c>
      <c r="E327" t="s">
        <v>518</v>
      </c>
      <c r="F327">
        <v>1</v>
      </c>
      <c r="G327" s="2">
        <v>16174.62</v>
      </c>
      <c r="H327" s="2">
        <v>1429.57</v>
      </c>
      <c r="I327" s="4">
        <f t="shared" si="5"/>
        <v>8.8383529257565235E-2</v>
      </c>
    </row>
    <row r="328" spans="1:9" x14ac:dyDescent="0.3">
      <c r="A328" t="s">
        <v>334</v>
      </c>
      <c r="B328" s="5">
        <v>45599</v>
      </c>
      <c r="C328" t="s">
        <v>510</v>
      </c>
      <c r="D328" t="s">
        <v>516</v>
      </c>
      <c r="E328" t="s">
        <v>519</v>
      </c>
      <c r="F328">
        <v>2</v>
      </c>
      <c r="G328" s="2">
        <v>13428.99</v>
      </c>
      <c r="H328" s="2">
        <v>2233.2800000000002</v>
      </c>
      <c r="I328" s="4">
        <f t="shared" si="5"/>
        <v>0.16630290140956247</v>
      </c>
    </row>
    <row r="329" spans="1:9" x14ac:dyDescent="0.3">
      <c r="A329" t="s">
        <v>335</v>
      </c>
      <c r="B329" s="5">
        <v>45525</v>
      </c>
      <c r="C329" t="s">
        <v>509</v>
      </c>
      <c r="D329" t="s">
        <v>516</v>
      </c>
      <c r="E329" t="s">
        <v>517</v>
      </c>
      <c r="F329">
        <v>10</v>
      </c>
      <c r="G329" s="2">
        <v>13922.19</v>
      </c>
      <c r="H329" s="2">
        <v>1446.73</v>
      </c>
      <c r="I329" s="4">
        <f t="shared" si="5"/>
        <v>0.10391540411386427</v>
      </c>
    </row>
    <row r="330" spans="1:9" x14ac:dyDescent="0.3">
      <c r="A330" t="s">
        <v>336</v>
      </c>
      <c r="B330" s="5">
        <v>45470</v>
      </c>
      <c r="C330" t="s">
        <v>509</v>
      </c>
      <c r="D330" t="s">
        <v>514</v>
      </c>
      <c r="E330" t="s">
        <v>518</v>
      </c>
      <c r="F330">
        <v>8</v>
      </c>
      <c r="G330" s="2">
        <v>2775.65</v>
      </c>
      <c r="H330" s="2">
        <v>239.62</v>
      </c>
      <c r="I330" s="4">
        <f t="shared" si="5"/>
        <v>8.6329328265451338E-2</v>
      </c>
    </row>
    <row r="331" spans="1:9" x14ac:dyDescent="0.3">
      <c r="A331" t="s">
        <v>337</v>
      </c>
      <c r="B331" s="5">
        <v>45386</v>
      </c>
      <c r="C331" t="s">
        <v>510</v>
      </c>
      <c r="D331" t="s">
        <v>513</v>
      </c>
      <c r="E331" t="s">
        <v>518</v>
      </c>
      <c r="F331">
        <v>1</v>
      </c>
      <c r="G331" s="2">
        <v>12839.39</v>
      </c>
      <c r="H331" s="2">
        <v>3157.03</v>
      </c>
      <c r="I331" s="4">
        <f t="shared" si="5"/>
        <v>0.24588629210577764</v>
      </c>
    </row>
    <row r="332" spans="1:9" x14ac:dyDescent="0.3">
      <c r="A332" t="s">
        <v>338</v>
      </c>
      <c r="B332" s="5">
        <v>45353</v>
      </c>
      <c r="C332" t="s">
        <v>511</v>
      </c>
      <c r="D332" t="s">
        <v>513</v>
      </c>
      <c r="E332" t="s">
        <v>519</v>
      </c>
      <c r="F332">
        <v>6</v>
      </c>
      <c r="G332" s="2">
        <v>17804.16</v>
      </c>
      <c r="H332" s="2">
        <v>3270.95</v>
      </c>
      <c r="I332" s="4">
        <f t="shared" si="5"/>
        <v>0.18371829954347746</v>
      </c>
    </row>
    <row r="333" spans="1:9" x14ac:dyDescent="0.3">
      <c r="A333" t="s">
        <v>339</v>
      </c>
      <c r="B333" s="5">
        <v>45551</v>
      </c>
      <c r="C333" t="s">
        <v>510</v>
      </c>
      <c r="D333" t="s">
        <v>514</v>
      </c>
      <c r="E333" t="s">
        <v>519</v>
      </c>
      <c r="F333">
        <v>7</v>
      </c>
      <c r="G333" s="2">
        <v>5884.51</v>
      </c>
      <c r="H333" s="2">
        <v>729.37</v>
      </c>
      <c r="I333" s="4">
        <f t="shared" si="5"/>
        <v>0.12394744847064582</v>
      </c>
    </row>
    <row r="334" spans="1:9" x14ac:dyDescent="0.3">
      <c r="A334" t="s">
        <v>340</v>
      </c>
      <c r="B334" s="5">
        <v>45561</v>
      </c>
      <c r="C334" t="s">
        <v>510</v>
      </c>
      <c r="D334" t="s">
        <v>515</v>
      </c>
      <c r="E334" t="s">
        <v>518</v>
      </c>
      <c r="F334">
        <v>5</v>
      </c>
      <c r="G334" s="2">
        <v>18571.689999999999</v>
      </c>
      <c r="H334" s="2">
        <v>3237.35</v>
      </c>
      <c r="I334" s="4">
        <f t="shared" si="5"/>
        <v>0.1743163923154005</v>
      </c>
    </row>
    <row r="335" spans="1:9" x14ac:dyDescent="0.3">
      <c r="A335" t="s">
        <v>341</v>
      </c>
      <c r="B335" s="5">
        <v>45390</v>
      </c>
      <c r="C335" t="s">
        <v>511</v>
      </c>
      <c r="D335" t="s">
        <v>515</v>
      </c>
      <c r="E335" t="s">
        <v>518</v>
      </c>
      <c r="F335">
        <v>9</v>
      </c>
      <c r="G335" s="2">
        <v>14443.04</v>
      </c>
      <c r="H335" s="2">
        <v>1995.79</v>
      </c>
      <c r="I335" s="4">
        <f t="shared" si="5"/>
        <v>0.13818351261230322</v>
      </c>
    </row>
    <row r="336" spans="1:9" x14ac:dyDescent="0.3">
      <c r="A336" t="s">
        <v>342</v>
      </c>
      <c r="B336" s="5">
        <v>45383</v>
      </c>
      <c r="C336" t="s">
        <v>511</v>
      </c>
      <c r="D336" t="s">
        <v>514</v>
      </c>
      <c r="E336" t="s">
        <v>517</v>
      </c>
      <c r="F336">
        <v>8</v>
      </c>
      <c r="G336" s="2">
        <v>13831.42</v>
      </c>
      <c r="H336" s="2">
        <v>2996.32</v>
      </c>
      <c r="I336" s="4">
        <f t="shared" si="5"/>
        <v>0.2166314087779852</v>
      </c>
    </row>
    <row r="337" spans="1:9" x14ac:dyDescent="0.3">
      <c r="A337" t="s">
        <v>343</v>
      </c>
      <c r="B337" s="5">
        <v>45394</v>
      </c>
      <c r="C337" t="s">
        <v>510</v>
      </c>
      <c r="D337" t="s">
        <v>513</v>
      </c>
      <c r="E337" t="s">
        <v>519</v>
      </c>
      <c r="F337">
        <v>5</v>
      </c>
      <c r="G337" s="2">
        <v>15103.33</v>
      </c>
      <c r="H337" s="2">
        <v>3744.81</v>
      </c>
      <c r="I337" s="4">
        <f t="shared" si="5"/>
        <v>0.2479459827733354</v>
      </c>
    </row>
    <row r="338" spans="1:9" x14ac:dyDescent="0.3">
      <c r="A338" t="s">
        <v>344</v>
      </c>
      <c r="B338" s="5">
        <v>45307</v>
      </c>
      <c r="C338" t="s">
        <v>511</v>
      </c>
      <c r="D338" t="s">
        <v>515</v>
      </c>
      <c r="E338" t="s">
        <v>518</v>
      </c>
      <c r="F338">
        <v>10</v>
      </c>
      <c r="G338" s="2">
        <v>14208.12</v>
      </c>
      <c r="H338" s="2">
        <v>1408.96</v>
      </c>
      <c r="I338" s="4">
        <f t="shared" si="5"/>
        <v>9.9165829117434254E-2</v>
      </c>
    </row>
    <row r="339" spans="1:9" x14ac:dyDescent="0.3">
      <c r="A339" t="s">
        <v>345</v>
      </c>
      <c r="B339" s="5">
        <v>45583</v>
      </c>
      <c r="C339" t="s">
        <v>509</v>
      </c>
      <c r="D339" t="s">
        <v>515</v>
      </c>
      <c r="E339" t="s">
        <v>517</v>
      </c>
      <c r="F339">
        <v>2</v>
      </c>
      <c r="G339" s="2">
        <v>11004.48</v>
      </c>
      <c r="H339" s="2">
        <v>1533.58</v>
      </c>
      <c r="I339" s="4">
        <f t="shared" si="5"/>
        <v>0.13935960626944663</v>
      </c>
    </row>
    <row r="340" spans="1:9" x14ac:dyDescent="0.3">
      <c r="A340" t="s">
        <v>346</v>
      </c>
      <c r="B340" s="5">
        <v>45561</v>
      </c>
      <c r="C340" t="s">
        <v>508</v>
      </c>
      <c r="D340" t="s">
        <v>516</v>
      </c>
      <c r="E340" t="s">
        <v>518</v>
      </c>
      <c r="F340">
        <v>8</v>
      </c>
      <c r="G340" s="2">
        <v>8063.85</v>
      </c>
      <c r="H340" s="2">
        <v>1238.99</v>
      </c>
      <c r="I340" s="4">
        <f t="shared" si="5"/>
        <v>0.15364745127947568</v>
      </c>
    </row>
    <row r="341" spans="1:9" x14ac:dyDescent="0.3">
      <c r="A341" t="s">
        <v>347</v>
      </c>
      <c r="B341" s="5">
        <v>45408</v>
      </c>
      <c r="C341" t="s">
        <v>512</v>
      </c>
      <c r="D341" t="s">
        <v>513</v>
      </c>
      <c r="E341" t="s">
        <v>517</v>
      </c>
      <c r="F341">
        <v>9</v>
      </c>
      <c r="G341" s="2">
        <v>10780.64</v>
      </c>
      <c r="H341" s="2">
        <v>1268.76</v>
      </c>
      <c r="I341" s="4">
        <f t="shared" si="5"/>
        <v>0.11768874575164369</v>
      </c>
    </row>
    <row r="342" spans="1:9" x14ac:dyDescent="0.3">
      <c r="A342" t="s">
        <v>348</v>
      </c>
      <c r="B342" s="5">
        <v>45332</v>
      </c>
      <c r="C342" t="s">
        <v>508</v>
      </c>
      <c r="D342" t="s">
        <v>514</v>
      </c>
      <c r="E342" t="s">
        <v>517</v>
      </c>
      <c r="F342">
        <v>7</v>
      </c>
      <c r="G342" s="2">
        <v>17891.88</v>
      </c>
      <c r="H342" s="2">
        <v>1491.78</v>
      </c>
      <c r="I342" s="4">
        <f t="shared" si="5"/>
        <v>8.3377487441230316E-2</v>
      </c>
    </row>
    <row r="343" spans="1:9" x14ac:dyDescent="0.3">
      <c r="A343" t="s">
        <v>349</v>
      </c>
      <c r="B343" s="5">
        <v>45347</v>
      </c>
      <c r="C343" t="s">
        <v>508</v>
      </c>
      <c r="D343" t="s">
        <v>515</v>
      </c>
      <c r="E343" t="s">
        <v>517</v>
      </c>
      <c r="F343">
        <v>7</v>
      </c>
      <c r="G343" s="2">
        <v>18650.16</v>
      </c>
      <c r="H343" s="2">
        <v>2492.9899999999998</v>
      </c>
      <c r="I343" s="4">
        <f t="shared" si="5"/>
        <v>0.13367123928159327</v>
      </c>
    </row>
    <row r="344" spans="1:9" x14ac:dyDescent="0.3">
      <c r="A344" t="s">
        <v>350</v>
      </c>
      <c r="B344" s="5">
        <v>45479</v>
      </c>
      <c r="C344" t="s">
        <v>512</v>
      </c>
      <c r="D344" t="s">
        <v>516</v>
      </c>
      <c r="E344" t="s">
        <v>518</v>
      </c>
      <c r="F344">
        <v>7</v>
      </c>
      <c r="G344" s="2">
        <v>14032.11</v>
      </c>
      <c r="H344" s="2">
        <v>2405.1</v>
      </c>
      <c r="I344" s="4">
        <f t="shared" si="5"/>
        <v>0.1713997395972523</v>
      </c>
    </row>
    <row r="345" spans="1:9" x14ac:dyDescent="0.3">
      <c r="A345" t="s">
        <v>351</v>
      </c>
      <c r="B345" s="5">
        <v>45344</v>
      </c>
      <c r="C345" t="s">
        <v>508</v>
      </c>
      <c r="D345" t="s">
        <v>514</v>
      </c>
      <c r="E345" t="s">
        <v>518</v>
      </c>
      <c r="F345">
        <v>8</v>
      </c>
      <c r="G345" s="2">
        <v>10276.879999999999</v>
      </c>
      <c r="H345" s="2">
        <v>1161.78</v>
      </c>
      <c r="I345" s="4">
        <f t="shared" si="5"/>
        <v>0.11304792894341474</v>
      </c>
    </row>
    <row r="346" spans="1:9" x14ac:dyDescent="0.3">
      <c r="A346" t="s">
        <v>352</v>
      </c>
      <c r="B346" s="5">
        <v>45543</v>
      </c>
      <c r="C346" t="s">
        <v>509</v>
      </c>
      <c r="D346" t="s">
        <v>516</v>
      </c>
      <c r="E346" t="s">
        <v>519</v>
      </c>
      <c r="F346">
        <v>4</v>
      </c>
      <c r="G346" s="2">
        <v>17342.29</v>
      </c>
      <c r="H346" s="2">
        <v>2664.8</v>
      </c>
      <c r="I346" s="4">
        <f t="shared" si="5"/>
        <v>0.15365906117358205</v>
      </c>
    </row>
    <row r="347" spans="1:9" x14ac:dyDescent="0.3">
      <c r="A347" t="s">
        <v>353</v>
      </c>
      <c r="B347" s="5">
        <v>45417</v>
      </c>
      <c r="C347" t="s">
        <v>512</v>
      </c>
      <c r="D347" t="s">
        <v>516</v>
      </c>
      <c r="E347" t="s">
        <v>519</v>
      </c>
      <c r="F347">
        <v>9</v>
      </c>
      <c r="G347" s="2">
        <v>11631.84</v>
      </c>
      <c r="H347" s="2">
        <v>656.64</v>
      </c>
      <c r="I347" s="4">
        <f t="shared" si="5"/>
        <v>5.6451945693888499E-2</v>
      </c>
    </row>
    <row r="348" spans="1:9" x14ac:dyDescent="0.3">
      <c r="A348" t="s">
        <v>354</v>
      </c>
      <c r="B348" s="5">
        <v>45613</v>
      </c>
      <c r="C348" t="s">
        <v>512</v>
      </c>
      <c r="D348" t="s">
        <v>515</v>
      </c>
      <c r="E348" t="s">
        <v>518</v>
      </c>
      <c r="F348">
        <v>9</v>
      </c>
      <c r="G348" s="2">
        <v>19457.71</v>
      </c>
      <c r="H348" s="2">
        <v>1554.89</v>
      </c>
      <c r="I348" s="4">
        <f t="shared" si="5"/>
        <v>7.9911253688126724E-2</v>
      </c>
    </row>
    <row r="349" spans="1:9" x14ac:dyDescent="0.3">
      <c r="A349" t="s">
        <v>355</v>
      </c>
      <c r="B349" s="5">
        <v>45602</v>
      </c>
      <c r="C349" t="s">
        <v>512</v>
      </c>
      <c r="D349" t="s">
        <v>514</v>
      </c>
      <c r="E349" t="s">
        <v>518</v>
      </c>
      <c r="F349">
        <v>10</v>
      </c>
      <c r="G349" s="2">
        <v>11086.46</v>
      </c>
      <c r="H349" s="2">
        <v>2346.5500000000002</v>
      </c>
      <c r="I349" s="4">
        <f t="shared" si="5"/>
        <v>0.21165908685008564</v>
      </c>
    </row>
    <row r="350" spans="1:9" x14ac:dyDescent="0.3">
      <c r="A350" t="s">
        <v>356</v>
      </c>
      <c r="B350" s="5">
        <v>45583</v>
      </c>
      <c r="C350" t="s">
        <v>510</v>
      </c>
      <c r="D350" t="s">
        <v>515</v>
      </c>
      <c r="E350" t="s">
        <v>517</v>
      </c>
      <c r="F350">
        <v>6</v>
      </c>
      <c r="G350" s="2">
        <v>13527.56</v>
      </c>
      <c r="H350" s="2">
        <v>3097.62</v>
      </c>
      <c r="I350" s="4">
        <f t="shared" si="5"/>
        <v>0.22898586293463122</v>
      </c>
    </row>
    <row r="351" spans="1:9" x14ac:dyDescent="0.3">
      <c r="A351" t="s">
        <v>357</v>
      </c>
      <c r="B351" s="5">
        <v>45336</v>
      </c>
      <c r="C351" t="s">
        <v>508</v>
      </c>
      <c r="D351" t="s">
        <v>516</v>
      </c>
      <c r="E351" t="s">
        <v>518</v>
      </c>
      <c r="F351">
        <v>6</v>
      </c>
      <c r="G351" s="2">
        <v>12707.35</v>
      </c>
      <c r="H351" s="2">
        <v>1986.04</v>
      </c>
      <c r="I351" s="4">
        <f t="shared" si="5"/>
        <v>0.15629065068641376</v>
      </c>
    </row>
    <row r="352" spans="1:9" x14ac:dyDescent="0.3">
      <c r="A352" t="s">
        <v>358</v>
      </c>
      <c r="B352" s="5">
        <v>45492</v>
      </c>
      <c r="C352" t="s">
        <v>510</v>
      </c>
      <c r="D352" t="s">
        <v>515</v>
      </c>
      <c r="E352" t="s">
        <v>519</v>
      </c>
      <c r="F352">
        <v>1</v>
      </c>
      <c r="G352" s="2">
        <v>16889.689999999999</v>
      </c>
      <c r="H352" s="2">
        <v>1553.45</v>
      </c>
      <c r="I352" s="4">
        <f t="shared" si="5"/>
        <v>9.1976229285439831E-2</v>
      </c>
    </row>
    <row r="353" spans="1:9" x14ac:dyDescent="0.3">
      <c r="A353" t="s">
        <v>359</v>
      </c>
      <c r="B353" s="5">
        <v>45613</v>
      </c>
      <c r="C353" t="s">
        <v>512</v>
      </c>
      <c r="D353" t="s">
        <v>516</v>
      </c>
      <c r="E353" t="s">
        <v>517</v>
      </c>
      <c r="F353">
        <v>5</v>
      </c>
      <c r="G353" s="2">
        <v>10942.52</v>
      </c>
      <c r="H353" s="2">
        <v>2218.6</v>
      </c>
      <c r="I353" s="4">
        <f t="shared" si="5"/>
        <v>0.20275037194357423</v>
      </c>
    </row>
    <row r="354" spans="1:9" x14ac:dyDescent="0.3">
      <c r="A354" t="s">
        <v>360</v>
      </c>
      <c r="B354" s="5">
        <v>45308</v>
      </c>
      <c r="C354" t="s">
        <v>511</v>
      </c>
      <c r="D354" t="s">
        <v>514</v>
      </c>
      <c r="E354" t="s">
        <v>518</v>
      </c>
      <c r="F354">
        <v>3</v>
      </c>
      <c r="G354" s="2">
        <v>11380.7</v>
      </c>
      <c r="H354" s="2">
        <v>2543.6799999999998</v>
      </c>
      <c r="I354" s="4">
        <f t="shared" si="5"/>
        <v>0.22350822005676274</v>
      </c>
    </row>
    <row r="355" spans="1:9" x14ac:dyDescent="0.3">
      <c r="A355" t="s">
        <v>361</v>
      </c>
      <c r="B355" s="5">
        <v>45555</v>
      </c>
      <c r="C355" t="s">
        <v>511</v>
      </c>
      <c r="D355" t="s">
        <v>514</v>
      </c>
      <c r="E355" t="s">
        <v>519</v>
      </c>
      <c r="F355">
        <v>1</v>
      </c>
      <c r="G355" s="2">
        <v>4716.38</v>
      </c>
      <c r="H355" s="2">
        <v>926.29</v>
      </c>
      <c r="I355" s="4">
        <f t="shared" si="5"/>
        <v>0.19639850902599026</v>
      </c>
    </row>
    <row r="356" spans="1:9" x14ac:dyDescent="0.3">
      <c r="A356" t="s">
        <v>362</v>
      </c>
      <c r="B356" s="5">
        <v>45591</v>
      </c>
      <c r="C356" t="s">
        <v>509</v>
      </c>
      <c r="D356" t="s">
        <v>515</v>
      </c>
      <c r="E356" t="s">
        <v>519</v>
      </c>
      <c r="F356">
        <v>3</v>
      </c>
      <c r="G356" s="2">
        <v>6744.45</v>
      </c>
      <c r="H356" s="2">
        <v>663.15</v>
      </c>
      <c r="I356" s="4">
        <f t="shared" si="5"/>
        <v>9.8325289682627937E-2</v>
      </c>
    </row>
    <row r="357" spans="1:9" x14ac:dyDescent="0.3">
      <c r="A357" t="s">
        <v>363</v>
      </c>
      <c r="B357" s="5">
        <v>45348</v>
      </c>
      <c r="C357" t="s">
        <v>510</v>
      </c>
      <c r="D357" t="s">
        <v>515</v>
      </c>
      <c r="E357" t="s">
        <v>517</v>
      </c>
      <c r="F357">
        <v>6</v>
      </c>
      <c r="G357" s="2">
        <v>14776.37</v>
      </c>
      <c r="H357" s="2">
        <v>2423.19</v>
      </c>
      <c r="I357" s="4">
        <f t="shared" si="5"/>
        <v>0.16399088544750842</v>
      </c>
    </row>
    <row r="358" spans="1:9" x14ac:dyDescent="0.3">
      <c r="A358" t="s">
        <v>364</v>
      </c>
      <c r="B358" s="5">
        <v>45500</v>
      </c>
      <c r="C358" t="s">
        <v>510</v>
      </c>
      <c r="D358" t="s">
        <v>515</v>
      </c>
      <c r="E358" t="s">
        <v>518</v>
      </c>
      <c r="F358">
        <v>1</v>
      </c>
      <c r="G358" s="2">
        <v>19569.02</v>
      </c>
      <c r="H358" s="2">
        <v>4232.05</v>
      </c>
      <c r="I358" s="4">
        <f t="shared" si="5"/>
        <v>0.21626274591165015</v>
      </c>
    </row>
    <row r="359" spans="1:9" x14ac:dyDescent="0.3">
      <c r="A359" t="s">
        <v>365</v>
      </c>
      <c r="B359" s="5">
        <v>45556</v>
      </c>
      <c r="C359" t="s">
        <v>511</v>
      </c>
      <c r="D359" t="s">
        <v>515</v>
      </c>
      <c r="E359" t="s">
        <v>517</v>
      </c>
      <c r="F359">
        <v>6</v>
      </c>
      <c r="G359" s="2">
        <v>17031.18</v>
      </c>
      <c r="H359" s="2">
        <v>4010.37</v>
      </c>
      <c r="I359" s="4">
        <f t="shared" si="5"/>
        <v>0.23547223386753002</v>
      </c>
    </row>
    <row r="360" spans="1:9" x14ac:dyDescent="0.3">
      <c r="A360" t="s">
        <v>366</v>
      </c>
      <c r="B360" s="5">
        <v>45314</v>
      </c>
      <c r="C360" t="s">
        <v>512</v>
      </c>
      <c r="D360" t="s">
        <v>514</v>
      </c>
      <c r="E360" t="s">
        <v>519</v>
      </c>
      <c r="F360">
        <v>7</v>
      </c>
      <c r="G360" s="2">
        <v>12342.5</v>
      </c>
      <c r="H360" s="2">
        <v>2528.54</v>
      </c>
      <c r="I360" s="4">
        <f t="shared" si="5"/>
        <v>0.20486449260684625</v>
      </c>
    </row>
    <row r="361" spans="1:9" x14ac:dyDescent="0.3">
      <c r="A361" t="s">
        <v>367</v>
      </c>
      <c r="B361" s="5">
        <v>45296</v>
      </c>
      <c r="C361" t="s">
        <v>512</v>
      </c>
      <c r="D361" t="s">
        <v>515</v>
      </c>
      <c r="E361" t="s">
        <v>518</v>
      </c>
      <c r="F361">
        <v>8</v>
      </c>
      <c r="G361" s="2">
        <v>15336.06</v>
      </c>
      <c r="H361" s="2">
        <v>1257.26</v>
      </c>
      <c r="I361" s="4">
        <f t="shared" si="5"/>
        <v>8.198063909504788E-2</v>
      </c>
    </row>
    <row r="362" spans="1:9" x14ac:dyDescent="0.3">
      <c r="A362" t="s">
        <v>368</v>
      </c>
      <c r="B362" s="5">
        <v>45571</v>
      </c>
      <c r="C362" t="s">
        <v>510</v>
      </c>
      <c r="D362" t="s">
        <v>514</v>
      </c>
      <c r="E362" t="s">
        <v>519</v>
      </c>
      <c r="F362">
        <v>8</v>
      </c>
      <c r="G362" s="2">
        <v>8085.25</v>
      </c>
      <c r="H362" s="2">
        <v>1752.2</v>
      </c>
      <c r="I362" s="4">
        <f t="shared" si="5"/>
        <v>0.21671562413036086</v>
      </c>
    </row>
    <row r="363" spans="1:9" x14ac:dyDescent="0.3">
      <c r="A363" t="s">
        <v>369</v>
      </c>
      <c r="B363" s="5">
        <v>45541</v>
      </c>
      <c r="C363" t="s">
        <v>510</v>
      </c>
      <c r="D363" t="s">
        <v>513</v>
      </c>
      <c r="E363" t="s">
        <v>518</v>
      </c>
      <c r="F363">
        <v>5</v>
      </c>
      <c r="G363" s="2">
        <v>14141.92</v>
      </c>
      <c r="H363" s="2">
        <v>3044.39</v>
      </c>
      <c r="I363" s="4">
        <f t="shared" si="5"/>
        <v>0.21527416362134702</v>
      </c>
    </row>
    <row r="364" spans="1:9" x14ac:dyDescent="0.3">
      <c r="A364" t="s">
        <v>370</v>
      </c>
      <c r="B364" s="5">
        <v>45439</v>
      </c>
      <c r="C364" t="s">
        <v>511</v>
      </c>
      <c r="D364" t="s">
        <v>514</v>
      </c>
      <c r="E364" t="s">
        <v>518</v>
      </c>
      <c r="F364">
        <v>10</v>
      </c>
      <c r="G364" s="2">
        <v>535.79</v>
      </c>
      <c r="H364" s="2">
        <v>30.17</v>
      </c>
      <c r="I364" s="4">
        <f t="shared" si="5"/>
        <v>5.6309374941674914E-2</v>
      </c>
    </row>
    <row r="365" spans="1:9" x14ac:dyDescent="0.3">
      <c r="A365" t="s">
        <v>371</v>
      </c>
      <c r="B365" s="5">
        <v>45317</v>
      </c>
      <c r="C365" t="s">
        <v>509</v>
      </c>
      <c r="D365" t="s">
        <v>515</v>
      </c>
      <c r="E365" t="s">
        <v>518</v>
      </c>
      <c r="F365">
        <v>7</v>
      </c>
      <c r="G365" s="2">
        <v>15969.3</v>
      </c>
      <c r="H365" s="2">
        <v>1874.25</v>
      </c>
      <c r="I365" s="4">
        <f t="shared" si="5"/>
        <v>0.11736582066840751</v>
      </c>
    </row>
    <row r="366" spans="1:9" x14ac:dyDescent="0.3">
      <c r="A366" t="s">
        <v>372</v>
      </c>
      <c r="B366" s="5">
        <v>45532</v>
      </c>
      <c r="C366" t="s">
        <v>512</v>
      </c>
      <c r="D366" t="s">
        <v>516</v>
      </c>
      <c r="E366" t="s">
        <v>517</v>
      </c>
      <c r="F366">
        <v>7</v>
      </c>
      <c r="G366" s="2">
        <v>8015.5</v>
      </c>
      <c r="H366" s="2">
        <v>1100.3499999999999</v>
      </c>
      <c r="I366" s="4">
        <f t="shared" si="5"/>
        <v>0.13727777431226998</v>
      </c>
    </row>
    <row r="367" spans="1:9" x14ac:dyDescent="0.3">
      <c r="A367" t="s">
        <v>373</v>
      </c>
      <c r="B367" s="5">
        <v>45450</v>
      </c>
      <c r="C367" t="s">
        <v>509</v>
      </c>
      <c r="D367" t="s">
        <v>513</v>
      </c>
      <c r="E367" t="s">
        <v>519</v>
      </c>
      <c r="F367">
        <v>3</v>
      </c>
      <c r="G367" s="2">
        <v>12371.43</v>
      </c>
      <c r="H367" s="2">
        <v>2110.06</v>
      </c>
      <c r="I367" s="4">
        <f t="shared" si="5"/>
        <v>0.17055910270680105</v>
      </c>
    </row>
    <row r="368" spans="1:9" x14ac:dyDescent="0.3">
      <c r="A368" t="s">
        <v>374</v>
      </c>
      <c r="B368" s="5">
        <v>45597</v>
      </c>
      <c r="C368" t="s">
        <v>511</v>
      </c>
      <c r="D368" t="s">
        <v>516</v>
      </c>
      <c r="E368" t="s">
        <v>518</v>
      </c>
      <c r="F368">
        <v>4</v>
      </c>
      <c r="G368" s="2">
        <v>6423</v>
      </c>
      <c r="H368" s="2">
        <v>350.34</v>
      </c>
      <c r="I368" s="4">
        <f t="shared" si="5"/>
        <v>5.4544605324614664E-2</v>
      </c>
    </row>
    <row r="369" spans="1:9" x14ac:dyDescent="0.3">
      <c r="A369" t="s">
        <v>375</v>
      </c>
      <c r="B369" s="5">
        <v>45363</v>
      </c>
      <c r="C369" t="s">
        <v>510</v>
      </c>
      <c r="D369" t="s">
        <v>515</v>
      </c>
      <c r="E369" t="s">
        <v>517</v>
      </c>
      <c r="F369">
        <v>8</v>
      </c>
      <c r="G369" s="2">
        <v>16335.73</v>
      </c>
      <c r="H369" s="2">
        <v>2257.5300000000002</v>
      </c>
      <c r="I369" s="4">
        <f t="shared" si="5"/>
        <v>0.13819584432406756</v>
      </c>
    </row>
    <row r="370" spans="1:9" x14ac:dyDescent="0.3">
      <c r="A370" t="s">
        <v>376</v>
      </c>
      <c r="B370" s="5">
        <v>45402</v>
      </c>
      <c r="C370" t="s">
        <v>509</v>
      </c>
      <c r="D370" t="s">
        <v>514</v>
      </c>
      <c r="E370" t="s">
        <v>519</v>
      </c>
      <c r="F370">
        <v>5</v>
      </c>
      <c r="G370" s="2">
        <v>2694.66</v>
      </c>
      <c r="H370" s="2">
        <v>284.60000000000002</v>
      </c>
      <c r="I370" s="4">
        <f t="shared" si="5"/>
        <v>0.10561629296460408</v>
      </c>
    </row>
    <row r="371" spans="1:9" x14ac:dyDescent="0.3">
      <c r="A371" t="s">
        <v>377</v>
      </c>
      <c r="B371" s="5">
        <v>45607</v>
      </c>
      <c r="C371" t="s">
        <v>511</v>
      </c>
      <c r="D371" t="s">
        <v>513</v>
      </c>
      <c r="E371" t="s">
        <v>518</v>
      </c>
      <c r="F371">
        <v>5</v>
      </c>
      <c r="G371" s="2">
        <v>7194.12</v>
      </c>
      <c r="H371" s="2">
        <v>1018.08</v>
      </c>
      <c r="I371" s="4">
        <f t="shared" si="5"/>
        <v>0.14151557104969059</v>
      </c>
    </row>
    <row r="372" spans="1:9" x14ac:dyDescent="0.3">
      <c r="A372" t="s">
        <v>378</v>
      </c>
      <c r="B372" s="5">
        <v>45402</v>
      </c>
      <c r="C372" t="s">
        <v>511</v>
      </c>
      <c r="D372" t="s">
        <v>516</v>
      </c>
      <c r="E372" t="s">
        <v>519</v>
      </c>
      <c r="F372">
        <v>6</v>
      </c>
      <c r="G372" s="2">
        <v>11338.29</v>
      </c>
      <c r="H372" s="2">
        <v>1262.6099999999999</v>
      </c>
      <c r="I372" s="4">
        <f t="shared" si="5"/>
        <v>0.11135806192997355</v>
      </c>
    </row>
    <row r="373" spans="1:9" x14ac:dyDescent="0.3">
      <c r="A373" t="s">
        <v>379</v>
      </c>
      <c r="B373" s="5">
        <v>45529</v>
      </c>
      <c r="C373" t="s">
        <v>511</v>
      </c>
      <c r="D373" t="s">
        <v>515</v>
      </c>
      <c r="E373" t="s">
        <v>517</v>
      </c>
      <c r="F373">
        <v>2</v>
      </c>
      <c r="G373" s="2">
        <v>9237.9699999999993</v>
      </c>
      <c r="H373" s="2">
        <v>2149.3200000000002</v>
      </c>
      <c r="I373" s="4">
        <f t="shared" si="5"/>
        <v>0.23266150463792373</v>
      </c>
    </row>
    <row r="374" spans="1:9" x14ac:dyDescent="0.3">
      <c r="A374" t="s">
        <v>380</v>
      </c>
      <c r="B374" s="5">
        <v>45548</v>
      </c>
      <c r="C374" t="s">
        <v>509</v>
      </c>
      <c r="D374" t="s">
        <v>514</v>
      </c>
      <c r="E374" t="s">
        <v>517</v>
      </c>
      <c r="F374">
        <v>8</v>
      </c>
      <c r="G374" s="2">
        <v>4526.46</v>
      </c>
      <c r="H374" s="2">
        <v>739.99</v>
      </c>
      <c r="I374" s="4">
        <f t="shared" si="5"/>
        <v>0.16348095421145883</v>
      </c>
    </row>
    <row r="375" spans="1:9" x14ac:dyDescent="0.3">
      <c r="A375" t="s">
        <v>381</v>
      </c>
      <c r="B375" s="5">
        <v>45319</v>
      </c>
      <c r="C375" t="s">
        <v>510</v>
      </c>
      <c r="D375" t="s">
        <v>515</v>
      </c>
      <c r="E375" t="s">
        <v>517</v>
      </c>
      <c r="F375">
        <v>10</v>
      </c>
      <c r="G375" s="2">
        <v>7534.66</v>
      </c>
      <c r="H375" s="2">
        <v>691.57</v>
      </c>
      <c r="I375" s="4">
        <f t="shared" si="5"/>
        <v>9.1785163497755715E-2</v>
      </c>
    </row>
    <row r="376" spans="1:9" x14ac:dyDescent="0.3">
      <c r="A376" t="s">
        <v>382</v>
      </c>
      <c r="B376" s="5">
        <v>45438</v>
      </c>
      <c r="C376" t="s">
        <v>508</v>
      </c>
      <c r="D376" t="s">
        <v>513</v>
      </c>
      <c r="E376" t="s">
        <v>519</v>
      </c>
      <c r="F376">
        <v>8</v>
      </c>
      <c r="G376" s="2">
        <v>15992.37</v>
      </c>
      <c r="H376" s="2">
        <v>2126.6</v>
      </c>
      <c r="I376" s="4">
        <f t="shared" si="5"/>
        <v>0.13297591288845867</v>
      </c>
    </row>
    <row r="377" spans="1:9" x14ac:dyDescent="0.3">
      <c r="A377" t="s">
        <v>383</v>
      </c>
      <c r="B377" s="5">
        <v>45523</v>
      </c>
      <c r="C377" t="s">
        <v>511</v>
      </c>
      <c r="D377" t="s">
        <v>513</v>
      </c>
      <c r="E377" t="s">
        <v>519</v>
      </c>
      <c r="F377">
        <v>6</v>
      </c>
      <c r="G377" s="2">
        <v>8767.2800000000007</v>
      </c>
      <c r="H377" s="2">
        <v>1351.88</v>
      </c>
      <c r="I377" s="4">
        <f t="shared" si="5"/>
        <v>0.15419605624549462</v>
      </c>
    </row>
    <row r="378" spans="1:9" x14ac:dyDescent="0.3">
      <c r="A378" t="s">
        <v>384</v>
      </c>
      <c r="B378" s="5">
        <v>45349</v>
      </c>
      <c r="C378" t="s">
        <v>512</v>
      </c>
      <c r="D378" t="s">
        <v>513</v>
      </c>
      <c r="E378" t="s">
        <v>518</v>
      </c>
      <c r="F378">
        <v>6</v>
      </c>
      <c r="G378" s="2">
        <v>6704.18</v>
      </c>
      <c r="H378" s="2">
        <v>984.59</v>
      </c>
      <c r="I378" s="4">
        <f t="shared" si="5"/>
        <v>0.14686210692433677</v>
      </c>
    </row>
    <row r="379" spans="1:9" x14ac:dyDescent="0.3">
      <c r="A379" t="s">
        <v>385</v>
      </c>
      <c r="B379" s="5">
        <v>45509</v>
      </c>
      <c r="C379" t="s">
        <v>512</v>
      </c>
      <c r="D379" t="s">
        <v>514</v>
      </c>
      <c r="E379" t="s">
        <v>519</v>
      </c>
      <c r="F379">
        <v>3</v>
      </c>
      <c r="G379" s="2">
        <v>3915.87</v>
      </c>
      <c r="H379" s="2">
        <v>859.08</v>
      </c>
      <c r="I379" s="4">
        <f t="shared" si="5"/>
        <v>0.21938419814753812</v>
      </c>
    </row>
    <row r="380" spans="1:9" x14ac:dyDescent="0.3">
      <c r="A380" t="s">
        <v>386</v>
      </c>
      <c r="B380" s="5">
        <v>45314</v>
      </c>
      <c r="C380" t="s">
        <v>511</v>
      </c>
      <c r="D380" t="s">
        <v>515</v>
      </c>
      <c r="E380" t="s">
        <v>518</v>
      </c>
      <c r="F380">
        <v>9</v>
      </c>
      <c r="G380" s="2">
        <v>13345.66</v>
      </c>
      <c r="H380" s="2">
        <v>1265.52</v>
      </c>
      <c r="I380" s="4">
        <f t="shared" si="5"/>
        <v>9.482633305509057E-2</v>
      </c>
    </row>
    <row r="381" spans="1:9" x14ac:dyDescent="0.3">
      <c r="A381" t="s">
        <v>387</v>
      </c>
      <c r="B381" s="5">
        <v>45377</v>
      </c>
      <c r="C381" t="s">
        <v>512</v>
      </c>
      <c r="D381" t="s">
        <v>514</v>
      </c>
      <c r="E381" t="s">
        <v>517</v>
      </c>
      <c r="F381">
        <v>3</v>
      </c>
      <c r="G381" s="2">
        <v>1875.67</v>
      </c>
      <c r="H381" s="2">
        <v>131.62</v>
      </c>
      <c r="I381" s="4">
        <f t="shared" si="5"/>
        <v>7.0172258446315181E-2</v>
      </c>
    </row>
    <row r="382" spans="1:9" x14ac:dyDescent="0.3">
      <c r="A382" t="s">
        <v>388</v>
      </c>
      <c r="B382" s="5">
        <v>45432</v>
      </c>
      <c r="C382" t="s">
        <v>510</v>
      </c>
      <c r="D382" t="s">
        <v>513</v>
      </c>
      <c r="E382" t="s">
        <v>517</v>
      </c>
      <c r="F382">
        <v>7</v>
      </c>
      <c r="G382" s="2">
        <v>2529.17</v>
      </c>
      <c r="H382" s="2">
        <v>317.89999999999998</v>
      </c>
      <c r="I382" s="4">
        <f t="shared" si="5"/>
        <v>0.12569340930028428</v>
      </c>
    </row>
    <row r="383" spans="1:9" x14ac:dyDescent="0.3">
      <c r="A383" t="s">
        <v>389</v>
      </c>
      <c r="B383" s="5">
        <v>45407</v>
      </c>
      <c r="C383" t="s">
        <v>510</v>
      </c>
      <c r="D383" t="s">
        <v>515</v>
      </c>
      <c r="E383" t="s">
        <v>518</v>
      </c>
      <c r="F383">
        <v>4</v>
      </c>
      <c r="G383" s="2">
        <v>5900.95</v>
      </c>
      <c r="H383" s="2">
        <v>398.24</v>
      </c>
      <c r="I383" s="4">
        <f t="shared" si="5"/>
        <v>6.7487438463298285E-2</v>
      </c>
    </row>
    <row r="384" spans="1:9" x14ac:dyDescent="0.3">
      <c r="A384" t="s">
        <v>390</v>
      </c>
      <c r="B384" s="5">
        <v>45387</v>
      </c>
      <c r="C384" t="s">
        <v>512</v>
      </c>
      <c r="D384" t="s">
        <v>515</v>
      </c>
      <c r="E384" t="s">
        <v>518</v>
      </c>
      <c r="F384">
        <v>7</v>
      </c>
      <c r="G384" s="2">
        <v>15868.86</v>
      </c>
      <c r="H384" s="2">
        <v>2964.99</v>
      </c>
      <c r="I384" s="4">
        <f t="shared" si="5"/>
        <v>0.18684328931000713</v>
      </c>
    </row>
    <row r="385" spans="1:9" x14ac:dyDescent="0.3">
      <c r="A385" t="s">
        <v>391</v>
      </c>
      <c r="B385" s="5">
        <v>45298</v>
      </c>
      <c r="C385" t="s">
        <v>511</v>
      </c>
      <c r="D385" t="s">
        <v>513</v>
      </c>
      <c r="E385" t="s">
        <v>518</v>
      </c>
      <c r="F385">
        <v>7</v>
      </c>
      <c r="G385" s="2">
        <v>4651.41</v>
      </c>
      <c r="H385" s="2">
        <v>522.41</v>
      </c>
      <c r="I385" s="4">
        <f t="shared" si="5"/>
        <v>0.1123121806076007</v>
      </c>
    </row>
    <row r="386" spans="1:9" x14ac:dyDescent="0.3">
      <c r="A386" t="s">
        <v>392</v>
      </c>
      <c r="B386" s="5">
        <v>45513</v>
      </c>
      <c r="C386" t="s">
        <v>511</v>
      </c>
      <c r="D386" t="s">
        <v>516</v>
      </c>
      <c r="E386" t="s">
        <v>519</v>
      </c>
      <c r="F386">
        <v>3</v>
      </c>
      <c r="G386" s="2">
        <v>18122.919999999998</v>
      </c>
      <c r="H386" s="2">
        <v>906.22</v>
      </c>
      <c r="I386" s="4">
        <f t="shared" si="5"/>
        <v>5.0004083227206217E-2</v>
      </c>
    </row>
    <row r="387" spans="1:9" x14ac:dyDescent="0.3">
      <c r="A387" t="s">
        <v>393</v>
      </c>
      <c r="B387" s="5">
        <v>45389</v>
      </c>
      <c r="C387" t="s">
        <v>508</v>
      </c>
      <c r="D387" t="s">
        <v>513</v>
      </c>
      <c r="E387" t="s">
        <v>517</v>
      </c>
      <c r="F387">
        <v>4</v>
      </c>
      <c r="G387" s="2">
        <v>5039.47</v>
      </c>
      <c r="H387" s="2">
        <v>492.65</v>
      </c>
      <c r="I387" s="4">
        <f t="shared" ref="I387:I450" si="6">H387/G387</f>
        <v>9.7758296011286896E-2</v>
      </c>
    </row>
    <row r="388" spans="1:9" x14ac:dyDescent="0.3">
      <c r="A388" t="s">
        <v>394</v>
      </c>
      <c r="B388" s="5">
        <v>45493</v>
      </c>
      <c r="C388" t="s">
        <v>509</v>
      </c>
      <c r="D388" t="s">
        <v>513</v>
      </c>
      <c r="E388" t="s">
        <v>518</v>
      </c>
      <c r="F388">
        <v>7</v>
      </c>
      <c r="G388" s="2">
        <v>3395.72</v>
      </c>
      <c r="H388" s="2">
        <v>781.42</v>
      </c>
      <c r="I388" s="4">
        <f t="shared" si="6"/>
        <v>0.23011909109113826</v>
      </c>
    </row>
    <row r="389" spans="1:9" x14ac:dyDescent="0.3">
      <c r="A389" t="s">
        <v>395</v>
      </c>
      <c r="B389" s="5">
        <v>45293</v>
      </c>
      <c r="C389" t="s">
        <v>511</v>
      </c>
      <c r="D389" t="s">
        <v>513</v>
      </c>
      <c r="E389" t="s">
        <v>518</v>
      </c>
      <c r="F389">
        <v>10</v>
      </c>
      <c r="G389" s="2">
        <v>10262.69</v>
      </c>
      <c r="H389" s="2">
        <v>1410.17</v>
      </c>
      <c r="I389" s="4">
        <f t="shared" si="6"/>
        <v>0.13740744385731227</v>
      </c>
    </row>
    <row r="390" spans="1:9" x14ac:dyDescent="0.3">
      <c r="A390" t="s">
        <v>396</v>
      </c>
      <c r="B390" s="5">
        <v>45313</v>
      </c>
      <c r="C390" t="s">
        <v>509</v>
      </c>
      <c r="D390" t="s">
        <v>515</v>
      </c>
      <c r="E390" t="s">
        <v>517</v>
      </c>
      <c r="F390">
        <v>8</v>
      </c>
      <c r="G390" s="2">
        <v>1377.64</v>
      </c>
      <c r="H390" s="2">
        <v>182.03</v>
      </c>
      <c r="I390" s="4">
        <f t="shared" si="6"/>
        <v>0.1321317615632531</v>
      </c>
    </row>
    <row r="391" spans="1:9" x14ac:dyDescent="0.3">
      <c r="A391" t="s">
        <v>397</v>
      </c>
      <c r="B391" s="5">
        <v>45624</v>
      </c>
      <c r="C391" t="s">
        <v>510</v>
      </c>
      <c r="D391" t="s">
        <v>514</v>
      </c>
      <c r="E391" t="s">
        <v>519</v>
      </c>
      <c r="F391">
        <v>9</v>
      </c>
      <c r="G391" s="2">
        <v>19017.43</v>
      </c>
      <c r="H391" s="2">
        <v>1891.89</v>
      </c>
      <c r="I391" s="4">
        <f t="shared" si="6"/>
        <v>9.9481896344563905E-2</v>
      </c>
    </row>
    <row r="392" spans="1:9" x14ac:dyDescent="0.3">
      <c r="A392" t="s">
        <v>398</v>
      </c>
      <c r="B392" s="5">
        <v>45645</v>
      </c>
      <c r="C392" t="s">
        <v>509</v>
      </c>
      <c r="D392" t="s">
        <v>516</v>
      </c>
      <c r="E392" t="s">
        <v>518</v>
      </c>
      <c r="F392">
        <v>5</v>
      </c>
      <c r="G392" s="2">
        <v>13036.97</v>
      </c>
      <c r="H392" s="2">
        <v>2089.19</v>
      </c>
      <c r="I392" s="4">
        <f t="shared" si="6"/>
        <v>0.16025119333710211</v>
      </c>
    </row>
    <row r="393" spans="1:9" x14ac:dyDescent="0.3">
      <c r="A393" t="s">
        <v>399</v>
      </c>
      <c r="B393" s="5">
        <v>45360</v>
      </c>
      <c r="C393" t="s">
        <v>509</v>
      </c>
      <c r="D393" t="s">
        <v>516</v>
      </c>
      <c r="E393" t="s">
        <v>518</v>
      </c>
      <c r="F393">
        <v>4</v>
      </c>
      <c r="G393" s="2">
        <v>10237.049999999999</v>
      </c>
      <c r="H393" s="2">
        <v>1600.45</v>
      </c>
      <c r="I393" s="4">
        <f t="shared" si="6"/>
        <v>0.1563389843753816</v>
      </c>
    </row>
    <row r="394" spans="1:9" x14ac:dyDescent="0.3">
      <c r="A394" t="s">
        <v>400</v>
      </c>
      <c r="B394" s="5">
        <v>45483</v>
      </c>
      <c r="C394" t="s">
        <v>512</v>
      </c>
      <c r="D394" t="s">
        <v>513</v>
      </c>
      <c r="E394" t="s">
        <v>518</v>
      </c>
      <c r="F394">
        <v>4</v>
      </c>
      <c r="G394" s="2">
        <v>10246.42</v>
      </c>
      <c r="H394" s="2">
        <v>852.39</v>
      </c>
      <c r="I394" s="4">
        <f t="shared" si="6"/>
        <v>8.3189055299314293E-2</v>
      </c>
    </row>
    <row r="395" spans="1:9" x14ac:dyDescent="0.3">
      <c r="A395" t="s">
        <v>401</v>
      </c>
      <c r="B395" s="5">
        <v>45490</v>
      </c>
      <c r="C395" t="s">
        <v>511</v>
      </c>
      <c r="D395" t="s">
        <v>514</v>
      </c>
      <c r="E395" t="s">
        <v>518</v>
      </c>
      <c r="F395">
        <v>2</v>
      </c>
      <c r="G395" s="2">
        <v>7489.56</v>
      </c>
      <c r="H395" s="2">
        <v>1669.96</v>
      </c>
      <c r="I395" s="4">
        <f t="shared" si="6"/>
        <v>0.22297170995358873</v>
      </c>
    </row>
    <row r="396" spans="1:9" x14ac:dyDescent="0.3">
      <c r="A396" t="s">
        <v>402</v>
      </c>
      <c r="B396" s="5">
        <v>45400</v>
      </c>
      <c r="C396" t="s">
        <v>508</v>
      </c>
      <c r="D396" t="s">
        <v>513</v>
      </c>
      <c r="E396" t="s">
        <v>518</v>
      </c>
      <c r="F396">
        <v>8</v>
      </c>
      <c r="G396" s="2">
        <v>13865.42</v>
      </c>
      <c r="H396" s="2">
        <v>1484.63</v>
      </c>
      <c r="I396" s="4">
        <f t="shared" si="6"/>
        <v>0.10707428985202036</v>
      </c>
    </row>
    <row r="397" spans="1:9" x14ac:dyDescent="0.3">
      <c r="A397" t="s">
        <v>403</v>
      </c>
      <c r="B397" s="5">
        <v>45376</v>
      </c>
      <c r="C397" t="s">
        <v>508</v>
      </c>
      <c r="D397" t="s">
        <v>514</v>
      </c>
      <c r="E397" t="s">
        <v>518</v>
      </c>
      <c r="F397">
        <v>1</v>
      </c>
      <c r="G397" s="2">
        <v>12037.43</v>
      </c>
      <c r="H397" s="2">
        <v>759.29</v>
      </c>
      <c r="I397" s="4">
        <f t="shared" si="6"/>
        <v>6.3077417687994852E-2</v>
      </c>
    </row>
    <row r="398" spans="1:9" x14ac:dyDescent="0.3">
      <c r="A398" t="s">
        <v>404</v>
      </c>
      <c r="B398" s="5">
        <v>45571</v>
      </c>
      <c r="C398" t="s">
        <v>509</v>
      </c>
      <c r="D398" t="s">
        <v>515</v>
      </c>
      <c r="E398" t="s">
        <v>518</v>
      </c>
      <c r="F398">
        <v>2</v>
      </c>
      <c r="G398" s="2">
        <v>18912.57</v>
      </c>
      <c r="H398" s="2">
        <v>2178.9499999999998</v>
      </c>
      <c r="I398" s="4">
        <f t="shared" si="6"/>
        <v>0.11521173484090211</v>
      </c>
    </row>
    <row r="399" spans="1:9" x14ac:dyDescent="0.3">
      <c r="A399" t="s">
        <v>405</v>
      </c>
      <c r="B399" s="5">
        <v>45549</v>
      </c>
      <c r="C399" t="s">
        <v>509</v>
      </c>
      <c r="D399" t="s">
        <v>514</v>
      </c>
      <c r="E399" t="s">
        <v>518</v>
      </c>
      <c r="F399">
        <v>5</v>
      </c>
      <c r="G399" s="2">
        <v>9045.02</v>
      </c>
      <c r="H399" s="2">
        <v>2082.0700000000002</v>
      </c>
      <c r="I399" s="4">
        <f t="shared" si="6"/>
        <v>0.23018965132194291</v>
      </c>
    </row>
    <row r="400" spans="1:9" x14ac:dyDescent="0.3">
      <c r="A400" t="s">
        <v>406</v>
      </c>
      <c r="B400" s="5">
        <v>45610</v>
      </c>
      <c r="C400" t="s">
        <v>511</v>
      </c>
      <c r="D400" t="s">
        <v>514</v>
      </c>
      <c r="E400" t="s">
        <v>519</v>
      </c>
      <c r="F400">
        <v>1</v>
      </c>
      <c r="G400" s="2">
        <v>13057.49</v>
      </c>
      <c r="H400" s="2">
        <v>2468.73</v>
      </c>
      <c r="I400" s="4">
        <f t="shared" si="6"/>
        <v>0.18906619878705633</v>
      </c>
    </row>
    <row r="401" spans="1:9" x14ac:dyDescent="0.3">
      <c r="A401" t="s">
        <v>407</v>
      </c>
      <c r="B401" s="5">
        <v>45328</v>
      </c>
      <c r="C401" t="s">
        <v>509</v>
      </c>
      <c r="D401" t="s">
        <v>515</v>
      </c>
      <c r="E401" t="s">
        <v>517</v>
      </c>
      <c r="F401">
        <v>10</v>
      </c>
      <c r="G401" s="2">
        <v>7186.19</v>
      </c>
      <c r="H401" s="2">
        <v>499.72</v>
      </c>
      <c r="I401" s="4">
        <f t="shared" si="6"/>
        <v>6.9538935096344526E-2</v>
      </c>
    </row>
    <row r="402" spans="1:9" x14ac:dyDescent="0.3">
      <c r="A402" t="s">
        <v>408</v>
      </c>
      <c r="B402" s="5">
        <v>45635</v>
      </c>
      <c r="C402" t="s">
        <v>509</v>
      </c>
      <c r="D402" t="s">
        <v>514</v>
      </c>
      <c r="E402" t="s">
        <v>518</v>
      </c>
      <c r="F402">
        <v>7</v>
      </c>
      <c r="G402" s="2">
        <v>2433.3000000000002</v>
      </c>
      <c r="H402" s="2">
        <v>156.16</v>
      </c>
      <c r="I402" s="4">
        <f t="shared" si="6"/>
        <v>6.4176221592076602E-2</v>
      </c>
    </row>
    <row r="403" spans="1:9" x14ac:dyDescent="0.3">
      <c r="A403" t="s">
        <v>409</v>
      </c>
      <c r="B403" s="5">
        <v>45602</v>
      </c>
      <c r="C403" t="s">
        <v>508</v>
      </c>
      <c r="D403" t="s">
        <v>513</v>
      </c>
      <c r="E403" t="s">
        <v>517</v>
      </c>
      <c r="F403">
        <v>4</v>
      </c>
      <c r="G403" s="2">
        <v>10504.73</v>
      </c>
      <c r="H403" s="2">
        <v>824.73</v>
      </c>
      <c r="I403" s="4">
        <f t="shared" si="6"/>
        <v>7.8510347243575043E-2</v>
      </c>
    </row>
    <row r="404" spans="1:9" x14ac:dyDescent="0.3">
      <c r="A404" t="s">
        <v>410</v>
      </c>
      <c r="B404" s="5">
        <v>45445</v>
      </c>
      <c r="C404" t="s">
        <v>510</v>
      </c>
      <c r="D404" t="s">
        <v>515</v>
      </c>
      <c r="E404" t="s">
        <v>518</v>
      </c>
      <c r="F404">
        <v>2</v>
      </c>
      <c r="G404" s="2">
        <v>10418.540000000001</v>
      </c>
      <c r="H404" s="2">
        <v>775.08</v>
      </c>
      <c r="I404" s="4">
        <f t="shared" si="6"/>
        <v>7.4394300928920937E-2</v>
      </c>
    </row>
    <row r="405" spans="1:9" x14ac:dyDescent="0.3">
      <c r="A405" t="s">
        <v>411</v>
      </c>
      <c r="B405" s="5">
        <v>45427</v>
      </c>
      <c r="C405" t="s">
        <v>508</v>
      </c>
      <c r="D405" t="s">
        <v>514</v>
      </c>
      <c r="E405" t="s">
        <v>519</v>
      </c>
      <c r="F405">
        <v>4</v>
      </c>
      <c r="G405" s="2">
        <v>15470.25</v>
      </c>
      <c r="H405" s="2">
        <v>1010.54</v>
      </c>
      <c r="I405" s="4">
        <f t="shared" si="6"/>
        <v>6.5321504177372702E-2</v>
      </c>
    </row>
    <row r="406" spans="1:9" x14ac:dyDescent="0.3">
      <c r="A406" t="s">
        <v>412</v>
      </c>
      <c r="B406" s="5">
        <v>45640</v>
      </c>
      <c r="C406" t="s">
        <v>512</v>
      </c>
      <c r="D406" t="s">
        <v>514</v>
      </c>
      <c r="E406" t="s">
        <v>517</v>
      </c>
      <c r="F406">
        <v>7</v>
      </c>
      <c r="G406" s="2">
        <v>7877.36</v>
      </c>
      <c r="H406" s="2">
        <v>1640.54</v>
      </c>
      <c r="I406" s="4">
        <f t="shared" si="6"/>
        <v>0.20826012775853839</v>
      </c>
    </row>
    <row r="407" spans="1:9" x14ac:dyDescent="0.3">
      <c r="A407" t="s">
        <v>413</v>
      </c>
      <c r="B407" s="5">
        <v>45466</v>
      </c>
      <c r="C407" t="s">
        <v>508</v>
      </c>
      <c r="D407" t="s">
        <v>514</v>
      </c>
      <c r="E407" t="s">
        <v>518</v>
      </c>
      <c r="F407">
        <v>7</v>
      </c>
      <c r="G407" s="2">
        <v>4453.5200000000004</v>
      </c>
      <c r="H407" s="2">
        <v>843.81</v>
      </c>
      <c r="I407" s="4">
        <f t="shared" si="6"/>
        <v>0.18947035154215089</v>
      </c>
    </row>
    <row r="408" spans="1:9" x14ac:dyDescent="0.3">
      <c r="A408" t="s">
        <v>414</v>
      </c>
      <c r="B408" s="5">
        <v>45575</v>
      </c>
      <c r="C408" t="s">
        <v>511</v>
      </c>
      <c r="D408" t="s">
        <v>514</v>
      </c>
      <c r="E408" t="s">
        <v>517</v>
      </c>
      <c r="F408">
        <v>4</v>
      </c>
      <c r="G408" s="2">
        <v>3528.22</v>
      </c>
      <c r="H408" s="2">
        <v>873.24</v>
      </c>
      <c r="I408" s="4">
        <f t="shared" si="6"/>
        <v>0.24750157303116022</v>
      </c>
    </row>
    <row r="409" spans="1:9" x14ac:dyDescent="0.3">
      <c r="A409" t="s">
        <v>415</v>
      </c>
      <c r="B409" s="5">
        <v>45555</v>
      </c>
      <c r="C409" t="s">
        <v>508</v>
      </c>
      <c r="D409" t="s">
        <v>515</v>
      </c>
      <c r="E409" t="s">
        <v>517</v>
      </c>
      <c r="F409">
        <v>2</v>
      </c>
      <c r="G409" s="2">
        <v>19780.330000000002</v>
      </c>
      <c r="H409" s="2">
        <v>1883</v>
      </c>
      <c r="I409" s="4">
        <f t="shared" si="6"/>
        <v>9.5195580660181092E-2</v>
      </c>
    </row>
    <row r="410" spans="1:9" x14ac:dyDescent="0.3">
      <c r="A410" t="s">
        <v>416</v>
      </c>
      <c r="B410" s="5">
        <v>45343</v>
      </c>
      <c r="C410" t="s">
        <v>509</v>
      </c>
      <c r="D410" t="s">
        <v>513</v>
      </c>
      <c r="E410" t="s">
        <v>518</v>
      </c>
      <c r="F410">
        <v>8</v>
      </c>
      <c r="G410" s="2">
        <v>12247.32</v>
      </c>
      <c r="H410" s="2">
        <v>2331.44</v>
      </c>
      <c r="I410" s="4">
        <f t="shared" si="6"/>
        <v>0.19036327947665285</v>
      </c>
    </row>
    <row r="411" spans="1:9" x14ac:dyDescent="0.3">
      <c r="A411" t="s">
        <v>417</v>
      </c>
      <c r="B411" s="5">
        <v>45328</v>
      </c>
      <c r="C411" t="s">
        <v>511</v>
      </c>
      <c r="D411" t="s">
        <v>516</v>
      </c>
      <c r="E411" t="s">
        <v>518</v>
      </c>
      <c r="F411">
        <v>6</v>
      </c>
      <c r="G411" s="2">
        <v>3501.63</v>
      </c>
      <c r="H411" s="2">
        <v>547.22</v>
      </c>
      <c r="I411" s="4">
        <f t="shared" si="6"/>
        <v>0.15627579155993065</v>
      </c>
    </row>
    <row r="412" spans="1:9" x14ac:dyDescent="0.3">
      <c r="A412" t="s">
        <v>418</v>
      </c>
      <c r="B412" s="5">
        <v>45400</v>
      </c>
      <c r="C412" t="s">
        <v>511</v>
      </c>
      <c r="D412" t="s">
        <v>514</v>
      </c>
      <c r="E412" t="s">
        <v>518</v>
      </c>
      <c r="F412">
        <v>5</v>
      </c>
      <c r="G412" s="2">
        <v>17642.05</v>
      </c>
      <c r="H412" s="2">
        <v>2237.48</v>
      </c>
      <c r="I412" s="4">
        <f t="shared" si="6"/>
        <v>0.12682653093036242</v>
      </c>
    </row>
    <row r="413" spans="1:9" x14ac:dyDescent="0.3">
      <c r="A413" t="s">
        <v>419</v>
      </c>
      <c r="B413" s="5">
        <v>45608</v>
      </c>
      <c r="C413" t="s">
        <v>510</v>
      </c>
      <c r="D413" t="s">
        <v>515</v>
      </c>
      <c r="E413" t="s">
        <v>519</v>
      </c>
      <c r="F413">
        <v>5</v>
      </c>
      <c r="G413" s="2">
        <v>15795.43</v>
      </c>
      <c r="H413" s="2">
        <v>3531.52</v>
      </c>
      <c r="I413" s="4">
        <f t="shared" si="6"/>
        <v>0.22357859203579769</v>
      </c>
    </row>
    <row r="414" spans="1:9" x14ac:dyDescent="0.3">
      <c r="A414" t="s">
        <v>420</v>
      </c>
      <c r="B414" s="5">
        <v>45303</v>
      </c>
      <c r="C414" t="s">
        <v>512</v>
      </c>
      <c r="D414" t="s">
        <v>515</v>
      </c>
      <c r="E414" t="s">
        <v>517</v>
      </c>
      <c r="F414">
        <v>8</v>
      </c>
      <c r="G414" s="2">
        <v>5213.67</v>
      </c>
      <c r="H414" s="2">
        <v>978.38</v>
      </c>
      <c r="I414" s="4">
        <f t="shared" si="6"/>
        <v>0.18765667945995815</v>
      </c>
    </row>
    <row r="415" spans="1:9" x14ac:dyDescent="0.3">
      <c r="A415" t="s">
        <v>421</v>
      </c>
      <c r="B415" s="5">
        <v>45386</v>
      </c>
      <c r="C415" t="s">
        <v>511</v>
      </c>
      <c r="D415" t="s">
        <v>513</v>
      </c>
      <c r="E415" t="s">
        <v>518</v>
      </c>
      <c r="F415">
        <v>6</v>
      </c>
      <c r="G415" s="2">
        <v>7007.61</v>
      </c>
      <c r="H415" s="2">
        <v>1312.02</v>
      </c>
      <c r="I415" s="4">
        <f t="shared" si="6"/>
        <v>0.18722788511346949</v>
      </c>
    </row>
    <row r="416" spans="1:9" x14ac:dyDescent="0.3">
      <c r="A416" t="s">
        <v>422</v>
      </c>
      <c r="B416" s="5">
        <v>45649</v>
      </c>
      <c r="C416" t="s">
        <v>512</v>
      </c>
      <c r="D416" t="s">
        <v>514</v>
      </c>
      <c r="E416" t="s">
        <v>517</v>
      </c>
      <c r="F416">
        <v>8</v>
      </c>
      <c r="G416" s="2">
        <v>3178.55</v>
      </c>
      <c r="H416" s="2">
        <v>454.21</v>
      </c>
      <c r="I416" s="4">
        <f t="shared" si="6"/>
        <v>0.14289849145050415</v>
      </c>
    </row>
    <row r="417" spans="1:9" x14ac:dyDescent="0.3">
      <c r="A417" t="s">
        <v>423</v>
      </c>
      <c r="B417" s="5">
        <v>45544</v>
      </c>
      <c r="C417" t="s">
        <v>508</v>
      </c>
      <c r="D417" t="s">
        <v>513</v>
      </c>
      <c r="E417" t="s">
        <v>519</v>
      </c>
      <c r="F417">
        <v>8</v>
      </c>
      <c r="G417" s="2">
        <v>11582.9</v>
      </c>
      <c r="H417" s="2">
        <v>1989.26</v>
      </c>
      <c r="I417" s="4">
        <f t="shared" si="6"/>
        <v>0.17174110110594065</v>
      </c>
    </row>
    <row r="418" spans="1:9" x14ac:dyDescent="0.3">
      <c r="A418" t="s">
        <v>424</v>
      </c>
      <c r="B418" s="5">
        <v>45324</v>
      </c>
      <c r="C418" t="s">
        <v>508</v>
      </c>
      <c r="D418" t="s">
        <v>514</v>
      </c>
      <c r="E418" t="s">
        <v>517</v>
      </c>
      <c r="F418">
        <v>4</v>
      </c>
      <c r="G418" s="2">
        <v>14453.92</v>
      </c>
      <c r="H418" s="2">
        <v>3149.13</v>
      </c>
      <c r="I418" s="4">
        <f t="shared" si="6"/>
        <v>0.21787376711646392</v>
      </c>
    </row>
    <row r="419" spans="1:9" x14ac:dyDescent="0.3">
      <c r="A419" t="s">
        <v>425</v>
      </c>
      <c r="B419" s="5">
        <v>45510</v>
      </c>
      <c r="C419" t="s">
        <v>511</v>
      </c>
      <c r="D419" t="s">
        <v>513</v>
      </c>
      <c r="E419" t="s">
        <v>519</v>
      </c>
      <c r="F419">
        <v>3</v>
      </c>
      <c r="G419" s="2">
        <v>8799.01</v>
      </c>
      <c r="H419" s="2">
        <v>1957.14</v>
      </c>
      <c r="I419" s="4">
        <f t="shared" si="6"/>
        <v>0.22242729579805001</v>
      </c>
    </row>
    <row r="420" spans="1:9" x14ac:dyDescent="0.3">
      <c r="A420" t="s">
        <v>426</v>
      </c>
      <c r="B420" s="5">
        <v>45628</v>
      </c>
      <c r="C420" t="s">
        <v>510</v>
      </c>
      <c r="D420" t="s">
        <v>516</v>
      </c>
      <c r="E420" t="s">
        <v>517</v>
      </c>
      <c r="F420">
        <v>9</v>
      </c>
      <c r="G420" s="2">
        <v>7031.07</v>
      </c>
      <c r="H420" s="2">
        <v>628.41</v>
      </c>
      <c r="I420" s="4">
        <f t="shared" si="6"/>
        <v>8.9376154696226895E-2</v>
      </c>
    </row>
    <row r="421" spans="1:9" x14ac:dyDescent="0.3">
      <c r="A421" t="s">
        <v>427</v>
      </c>
      <c r="B421" s="5">
        <v>45603</v>
      </c>
      <c r="C421" t="s">
        <v>508</v>
      </c>
      <c r="D421" t="s">
        <v>514</v>
      </c>
      <c r="E421" t="s">
        <v>517</v>
      </c>
      <c r="F421">
        <v>10</v>
      </c>
      <c r="G421" s="2">
        <v>19981.650000000001</v>
      </c>
      <c r="H421" s="2">
        <v>4510.75</v>
      </c>
      <c r="I421" s="4">
        <f t="shared" si="6"/>
        <v>0.22574462068948259</v>
      </c>
    </row>
    <row r="422" spans="1:9" x14ac:dyDescent="0.3">
      <c r="A422" t="s">
        <v>428</v>
      </c>
      <c r="B422" s="5">
        <v>45592</v>
      </c>
      <c r="C422" t="s">
        <v>511</v>
      </c>
      <c r="D422" t="s">
        <v>516</v>
      </c>
      <c r="E422" t="s">
        <v>518</v>
      </c>
      <c r="F422">
        <v>6</v>
      </c>
      <c r="G422" s="2">
        <v>18740.09</v>
      </c>
      <c r="H422" s="2">
        <v>1346.89</v>
      </c>
      <c r="I422" s="4">
        <f t="shared" si="6"/>
        <v>7.1872120144567078E-2</v>
      </c>
    </row>
    <row r="423" spans="1:9" x14ac:dyDescent="0.3">
      <c r="A423" t="s">
        <v>429</v>
      </c>
      <c r="B423" s="5">
        <v>45329</v>
      </c>
      <c r="C423" t="s">
        <v>510</v>
      </c>
      <c r="D423" t="s">
        <v>515</v>
      </c>
      <c r="E423" t="s">
        <v>517</v>
      </c>
      <c r="F423">
        <v>7</v>
      </c>
      <c r="G423" s="2">
        <v>17164.05</v>
      </c>
      <c r="H423" s="2">
        <v>943.64</v>
      </c>
      <c r="I423" s="4">
        <f t="shared" si="6"/>
        <v>5.4977700484442775E-2</v>
      </c>
    </row>
    <row r="424" spans="1:9" x14ac:dyDescent="0.3">
      <c r="A424" t="s">
        <v>430</v>
      </c>
      <c r="B424" s="5">
        <v>45362</v>
      </c>
      <c r="C424" t="s">
        <v>511</v>
      </c>
      <c r="D424" t="s">
        <v>514</v>
      </c>
      <c r="E424" t="s">
        <v>519</v>
      </c>
      <c r="F424">
        <v>3</v>
      </c>
      <c r="G424" s="2">
        <v>12421.3</v>
      </c>
      <c r="H424" s="2">
        <v>798.35</v>
      </c>
      <c r="I424" s="4">
        <f t="shared" si="6"/>
        <v>6.4272660671588322E-2</v>
      </c>
    </row>
    <row r="425" spans="1:9" x14ac:dyDescent="0.3">
      <c r="A425" t="s">
        <v>431</v>
      </c>
      <c r="B425" s="5">
        <v>45605</v>
      </c>
      <c r="C425" t="s">
        <v>512</v>
      </c>
      <c r="D425" t="s">
        <v>516</v>
      </c>
      <c r="E425" t="s">
        <v>518</v>
      </c>
      <c r="F425">
        <v>4</v>
      </c>
      <c r="G425" s="2">
        <v>1743.74</v>
      </c>
      <c r="H425" s="2">
        <v>118.2</v>
      </c>
      <c r="I425" s="4">
        <f t="shared" si="6"/>
        <v>6.7785334969662908E-2</v>
      </c>
    </row>
    <row r="426" spans="1:9" x14ac:dyDescent="0.3">
      <c r="A426" t="s">
        <v>432</v>
      </c>
      <c r="B426" s="5">
        <v>45487</v>
      </c>
      <c r="C426" t="s">
        <v>508</v>
      </c>
      <c r="D426" t="s">
        <v>516</v>
      </c>
      <c r="E426" t="s">
        <v>518</v>
      </c>
      <c r="F426">
        <v>7</v>
      </c>
      <c r="G426" s="2">
        <v>9625.2199999999993</v>
      </c>
      <c r="H426" s="2">
        <v>797.35</v>
      </c>
      <c r="I426" s="4">
        <f t="shared" si="6"/>
        <v>8.2839664963502146E-2</v>
      </c>
    </row>
    <row r="427" spans="1:9" x14ac:dyDescent="0.3">
      <c r="A427" t="s">
        <v>433</v>
      </c>
      <c r="B427" s="5">
        <v>45371</v>
      </c>
      <c r="C427" t="s">
        <v>512</v>
      </c>
      <c r="D427" t="s">
        <v>513</v>
      </c>
      <c r="E427" t="s">
        <v>519</v>
      </c>
      <c r="F427">
        <v>8</v>
      </c>
      <c r="G427" s="2">
        <v>19967.759999999998</v>
      </c>
      <c r="H427" s="2">
        <v>4890.17</v>
      </c>
      <c r="I427" s="4">
        <f t="shared" si="6"/>
        <v>0.24490328409395948</v>
      </c>
    </row>
    <row r="428" spans="1:9" x14ac:dyDescent="0.3">
      <c r="A428" t="s">
        <v>434</v>
      </c>
      <c r="B428" s="5">
        <v>45369</v>
      </c>
      <c r="C428" t="s">
        <v>508</v>
      </c>
      <c r="D428" t="s">
        <v>515</v>
      </c>
      <c r="E428" t="s">
        <v>517</v>
      </c>
      <c r="F428">
        <v>3</v>
      </c>
      <c r="G428" s="2">
        <v>6213.47</v>
      </c>
      <c r="H428" s="2">
        <v>1464.26</v>
      </c>
      <c r="I428" s="4">
        <f t="shared" si="6"/>
        <v>0.23565897960398938</v>
      </c>
    </row>
    <row r="429" spans="1:9" x14ac:dyDescent="0.3">
      <c r="A429" t="s">
        <v>435</v>
      </c>
      <c r="B429" s="5">
        <v>45631</v>
      </c>
      <c r="C429" t="s">
        <v>509</v>
      </c>
      <c r="D429" t="s">
        <v>515</v>
      </c>
      <c r="E429" t="s">
        <v>518</v>
      </c>
      <c r="F429">
        <v>7</v>
      </c>
      <c r="G429" s="2">
        <v>17949.37</v>
      </c>
      <c r="H429" s="2">
        <v>1607.91</v>
      </c>
      <c r="I429" s="4">
        <f t="shared" si="6"/>
        <v>8.9580302818427618E-2</v>
      </c>
    </row>
    <row r="430" spans="1:9" x14ac:dyDescent="0.3">
      <c r="A430" t="s">
        <v>436</v>
      </c>
      <c r="B430" s="5">
        <v>45317</v>
      </c>
      <c r="C430" t="s">
        <v>512</v>
      </c>
      <c r="D430" t="s">
        <v>516</v>
      </c>
      <c r="E430" t="s">
        <v>517</v>
      </c>
      <c r="F430">
        <v>7</v>
      </c>
      <c r="G430" s="2">
        <v>5482.03</v>
      </c>
      <c r="H430" s="2">
        <v>873.4</v>
      </c>
      <c r="I430" s="4">
        <f t="shared" si="6"/>
        <v>0.15932054366721818</v>
      </c>
    </row>
    <row r="431" spans="1:9" x14ac:dyDescent="0.3">
      <c r="A431" t="s">
        <v>437</v>
      </c>
      <c r="B431" s="5">
        <v>45572</v>
      </c>
      <c r="C431" t="s">
        <v>508</v>
      </c>
      <c r="D431" t="s">
        <v>515</v>
      </c>
      <c r="E431" t="s">
        <v>518</v>
      </c>
      <c r="F431">
        <v>2</v>
      </c>
      <c r="G431" s="2">
        <v>18983.29</v>
      </c>
      <c r="H431" s="2">
        <v>2653.87</v>
      </c>
      <c r="I431" s="4">
        <f t="shared" si="6"/>
        <v>0.13980031912276533</v>
      </c>
    </row>
    <row r="432" spans="1:9" x14ac:dyDescent="0.3">
      <c r="A432" t="s">
        <v>438</v>
      </c>
      <c r="B432" s="5">
        <v>45323</v>
      </c>
      <c r="C432" t="s">
        <v>512</v>
      </c>
      <c r="D432" t="s">
        <v>516</v>
      </c>
      <c r="E432" t="s">
        <v>518</v>
      </c>
      <c r="F432">
        <v>9</v>
      </c>
      <c r="G432" s="2">
        <v>1781.94</v>
      </c>
      <c r="H432" s="2">
        <v>393.69</v>
      </c>
      <c r="I432" s="4">
        <f t="shared" si="6"/>
        <v>0.22093336475975622</v>
      </c>
    </row>
    <row r="433" spans="1:9" x14ac:dyDescent="0.3">
      <c r="A433" t="s">
        <v>439</v>
      </c>
      <c r="B433" s="5">
        <v>45404</v>
      </c>
      <c r="C433" t="s">
        <v>508</v>
      </c>
      <c r="D433" t="s">
        <v>515</v>
      </c>
      <c r="E433" t="s">
        <v>517</v>
      </c>
      <c r="F433">
        <v>7</v>
      </c>
      <c r="G433" s="2">
        <v>11649.16</v>
      </c>
      <c r="H433" s="2">
        <v>2700.93</v>
      </c>
      <c r="I433" s="4">
        <f t="shared" si="6"/>
        <v>0.23185620250730524</v>
      </c>
    </row>
    <row r="434" spans="1:9" x14ac:dyDescent="0.3">
      <c r="A434" t="s">
        <v>440</v>
      </c>
      <c r="B434" s="5">
        <v>45647</v>
      </c>
      <c r="C434" t="s">
        <v>511</v>
      </c>
      <c r="D434" t="s">
        <v>515</v>
      </c>
      <c r="E434" t="s">
        <v>518</v>
      </c>
      <c r="F434">
        <v>1</v>
      </c>
      <c r="G434" s="2">
        <v>14538.94</v>
      </c>
      <c r="H434" s="2">
        <v>2405.54</v>
      </c>
      <c r="I434" s="4">
        <f t="shared" si="6"/>
        <v>0.16545497814833818</v>
      </c>
    </row>
    <row r="435" spans="1:9" x14ac:dyDescent="0.3">
      <c r="A435" t="s">
        <v>441</v>
      </c>
      <c r="B435" s="5">
        <v>45597</v>
      </c>
      <c r="C435" t="s">
        <v>509</v>
      </c>
      <c r="D435" t="s">
        <v>513</v>
      </c>
      <c r="E435" t="s">
        <v>517</v>
      </c>
      <c r="F435">
        <v>8</v>
      </c>
      <c r="G435" s="2">
        <v>10626.83</v>
      </c>
      <c r="H435" s="2">
        <v>1910.17</v>
      </c>
      <c r="I435" s="4">
        <f t="shared" si="6"/>
        <v>0.17974974663187424</v>
      </c>
    </row>
    <row r="436" spans="1:9" x14ac:dyDescent="0.3">
      <c r="A436" t="s">
        <v>442</v>
      </c>
      <c r="B436" s="5">
        <v>45508</v>
      </c>
      <c r="C436" t="s">
        <v>508</v>
      </c>
      <c r="D436" t="s">
        <v>516</v>
      </c>
      <c r="E436" t="s">
        <v>518</v>
      </c>
      <c r="F436">
        <v>9</v>
      </c>
      <c r="G436" s="2">
        <v>14926.59</v>
      </c>
      <c r="H436" s="2">
        <v>1119.4100000000001</v>
      </c>
      <c r="I436" s="4">
        <f t="shared" si="6"/>
        <v>7.4994355710178956E-2</v>
      </c>
    </row>
    <row r="437" spans="1:9" x14ac:dyDescent="0.3">
      <c r="A437" t="s">
        <v>443</v>
      </c>
      <c r="B437" s="5">
        <v>45620</v>
      </c>
      <c r="C437" t="s">
        <v>508</v>
      </c>
      <c r="D437" t="s">
        <v>516</v>
      </c>
      <c r="E437" t="s">
        <v>517</v>
      </c>
      <c r="F437">
        <v>5</v>
      </c>
      <c r="G437" s="2">
        <v>19375</v>
      </c>
      <c r="H437" s="2">
        <v>3532.2</v>
      </c>
      <c r="I437" s="4">
        <f t="shared" si="6"/>
        <v>0.18230709677419354</v>
      </c>
    </row>
    <row r="438" spans="1:9" x14ac:dyDescent="0.3">
      <c r="A438" t="s">
        <v>444</v>
      </c>
      <c r="B438" s="5">
        <v>45474</v>
      </c>
      <c r="C438" t="s">
        <v>511</v>
      </c>
      <c r="D438" t="s">
        <v>513</v>
      </c>
      <c r="E438" t="s">
        <v>518</v>
      </c>
      <c r="F438">
        <v>4</v>
      </c>
      <c r="G438" s="2">
        <v>2599.13</v>
      </c>
      <c r="H438" s="2">
        <v>201.66</v>
      </c>
      <c r="I438" s="4">
        <f t="shared" si="6"/>
        <v>7.7587500432837131E-2</v>
      </c>
    </row>
    <row r="439" spans="1:9" x14ac:dyDescent="0.3">
      <c r="A439" t="s">
        <v>445</v>
      </c>
      <c r="B439" s="5">
        <v>45456</v>
      </c>
      <c r="C439" t="s">
        <v>510</v>
      </c>
      <c r="D439" t="s">
        <v>513</v>
      </c>
      <c r="E439" t="s">
        <v>517</v>
      </c>
      <c r="F439">
        <v>5</v>
      </c>
      <c r="G439" s="2">
        <v>2053.61</v>
      </c>
      <c r="H439" s="2">
        <v>453.87</v>
      </c>
      <c r="I439" s="4">
        <f t="shared" si="6"/>
        <v>0.2210108053622645</v>
      </c>
    </row>
    <row r="440" spans="1:9" x14ac:dyDescent="0.3">
      <c r="A440" t="s">
        <v>446</v>
      </c>
      <c r="B440" s="5">
        <v>45303</v>
      </c>
      <c r="C440" t="s">
        <v>508</v>
      </c>
      <c r="D440" t="s">
        <v>515</v>
      </c>
      <c r="E440" t="s">
        <v>517</v>
      </c>
      <c r="F440">
        <v>9</v>
      </c>
      <c r="G440" s="2">
        <v>8411.4599999999991</v>
      </c>
      <c r="H440" s="2">
        <v>1368.2</v>
      </c>
      <c r="I440" s="4">
        <f t="shared" si="6"/>
        <v>0.16265903897777559</v>
      </c>
    </row>
    <row r="441" spans="1:9" x14ac:dyDescent="0.3">
      <c r="A441" t="s">
        <v>447</v>
      </c>
      <c r="B441" s="5">
        <v>45401</v>
      </c>
      <c r="C441" t="s">
        <v>508</v>
      </c>
      <c r="D441" t="s">
        <v>513</v>
      </c>
      <c r="E441" t="s">
        <v>519</v>
      </c>
      <c r="F441">
        <v>10</v>
      </c>
      <c r="G441" s="2">
        <v>16608.25</v>
      </c>
      <c r="H441" s="2">
        <v>3142.42</v>
      </c>
      <c r="I441" s="4">
        <f t="shared" si="6"/>
        <v>0.18920837535562146</v>
      </c>
    </row>
    <row r="442" spans="1:9" x14ac:dyDescent="0.3">
      <c r="A442" t="s">
        <v>448</v>
      </c>
      <c r="B442" s="5">
        <v>45599</v>
      </c>
      <c r="C442" t="s">
        <v>509</v>
      </c>
      <c r="D442" t="s">
        <v>514</v>
      </c>
      <c r="E442" t="s">
        <v>517</v>
      </c>
      <c r="F442">
        <v>5</v>
      </c>
      <c r="G442" s="2">
        <v>10809.51</v>
      </c>
      <c r="H442" s="2">
        <v>2430.16</v>
      </c>
      <c r="I442" s="4">
        <f t="shared" si="6"/>
        <v>0.2248168510876071</v>
      </c>
    </row>
    <row r="443" spans="1:9" x14ac:dyDescent="0.3">
      <c r="A443" t="s">
        <v>449</v>
      </c>
      <c r="B443" s="5">
        <v>45434</v>
      </c>
      <c r="C443" t="s">
        <v>511</v>
      </c>
      <c r="D443" t="s">
        <v>516</v>
      </c>
      <c r="E443" t="s">
        <v>519</v>
      </c>
      <c r="F443">
        <v>4</v>
      </c>
      <c r="G443" s="2">
        <v>9735.18</v>
      </c>
      <c r="H443" s="2">
        <v>851.83</v>
      </c>
      <c r="I443" s="4">
        <f t="shared" si="6"/>
        <v>8.7500179760415325E-2</v>
      </c>
    </row>
    <row r="444" spans="1:9" x14ac:dyDescent="0.3">
      <c r="A444" t="s">
        <v>450</v>
      </c>
      <c r="B444" s="5">
        <v>45420</v>
      </c>
      <c r="C444" t="s">
        <v>510</v>
      </c>
      <c r="D444" t="s">
        <v>514</v>
      </c>
      <c r="E444" t="s">
        <v>517</v>
      </c>
      <c r="F444">
        <v>2</v>
      </c>
      <c r="G444" s="2">
        <v>11568.24</v>
      </c>
      <c r="H444" s="2">
        <v>2789.95</v>
      </c>
      <c r="I444" s="4">
        <f t="shared" si="6"/>
        <v>0.24117324675145052</v>
      </c>
    </row>
    <row r="445" spans="1:9" x14ac:dyDescent="0.3">
      <c r="A445" t="s">
        <v>451</v>
      </c>
      <c r="B445" s="5">
        <v>45549</v>
      </c>
      <c r="C445" t="s">
        <v>508</v>
      </c>
      <c r="D445" t="s">
        <v>513</v>
      </c>
      <c r="E445" t="s">
        <v>518</v>
      </c>
      <c r="F445">
        <v>6</v>
      </c>
      <c r="G445" s="2">
        <v>13037.59</v>
      </c>
      <c r="H445" s="2">
        <v>2152.4899999999998</v>
      </c>
      <c r="I445" s="4">
        <f t="shared" si="6"/>
        <v>0.16509876441888416</v>
      </c>
    </row>
    <row r="446" spans="1:9" x14ac:dyDescent="0.3">
      <c r="A446" t="s">
        <v>452</v>
      </c>
      <c r="B446" s="5">
        <v>45580</v>
      </c>
      <c r="C446" t="s">
        <v>512</v>
      </c>
      <c r="D446" t="s">
        <v>514</v>
      </c>
      <c r="E446" t="s">
        <v>519</v>
      </c>
      <c r="F446">
        <v>9</v>
      </c>
      <c r="G446" s="2">
        <v>18128.84</v>
      </c>
      <c r="H446" s="2">
        <v>2270.2399999999998</v>
      </c>
      <c r="I446" s="4">
        <f t="shared" si="6"/>
        <v>0.12522808960749832</v>
      </c>
    </row>
    <row r="447" spans="1:9" x14ac:dyDescent="0.3">
      <c r="A447" t="s">
        <v>453</v>
      </c>
      <c r="B447" s="5">
        <v>45508</v>
      </c>
      <c r="C447" t="s">
        <v>508</v>
      </c>
      <c r="D447" t="s">
        <v>514</v>
      </c>
      <c r="E447" t="s">
        <v>517</v>
      </c>
      <c r="F447">
        <v>7</v>
      </c>
      <c r="G447" s="2">
        <v>18689.37</v>
      </c>
      <c r="H447" s="2">
        <v>2236.89</v>
      </c>
      <c r="I447" s="4">
        <f t="shared" si="6"/>
        <v>0.11968782254297497</v>
      </c>
    </row>
    <row r="448" spans="1:9" x14ac:dyDescent="0.3">
      <c r="A448" t="s">
        <v>454</v>
      </c>
      <c r="B448" s="5">
        <v>45477</v>
      </c>
      <c r="C448" t="s">
        <v>510</v>
      </c>
      <c r="D448" t="s">
        <v>515</v>
      </c>
      <c r="E448" t="s">
        <v>519</v>
      </c>
      <c r="F448">
        <v>10</v>
      </c>
      <c r="G448" s="2">
        <v>10752.94</v>
      </c>
      <c r="H448" s="2">
        <v>2367.59</v>
      </c>
      <c r="I448" s="4">
        <f t="shared" si="6"/>
        <v>0.22018071336769293</v>
      </c>
    </row>
    <row r="449" spans="1:9" x14ac:dyDescent="0.3">
      <c r="A449" t="s">
        <v>455</v>
      </c>
      <c r="B449" s="5">
        <v>45357</v>
      </c>
      <c r="C449" t="s">
        <v>509</v>
      </c>
      <c r="D449" t="s">
        <v>516</v>
      </c>
      <c r="E449" t="s">
        <v>519</v>
      </c>
      <c r="F449">
        <v>8</v>
      </c>
      <c r="G449" s="2">
        <v>3371.65</v>
      </c>
      <c r="H449" s="2">
        <v>775.13</v>
      </c>
      <c r="I449" s="4">
        <f t="shared" si="6"/>
        <v>0.22989634155383862</v>
      </c>
    </row>
    <row r="450" spans="1:9" x14ac:dyDescent="0.3">
      <c r="A450" t="s">
        <v>456</v>
      </c>
      <c r="B450" s="5">
        <v>45304</v>
      </c>
      <c r="C450" t="s">
        <v>508</v>
      </c>
      <c r="D450" t="s">
        <v>516</v>
      </c>
      <c r="E450" t="s">
        <v>519</v>
      </c>
      <c r="F450">
        <v>3</v>
      </c>
      <c r="G450" s="2">
        <v>9481</v>
      </c>
      <c r="H450" s="2">
        <v>870.66</v>
      </c>
      <c r="I450" s="4">
        <f t="shared" si="6"/>
        <v>9.1832085223077731E-2</v>
      </c>
    </row>
    <row r="451" spans="1:9" x14ac:dyDescent="0.3">
      <c r="A451" t="s">
        <v>457</v>
      </c>
      <c r="B451" s="5">
        <v>45464</v>
      </c>
      <c r="C451" t="s">
        <v>512</v>
      </c>
      <c r="D451" t="s">
        <v>516</v>
      </c>
      <c r="E451" t="s">
        <v>517</v>
      </c>
      <c r="F451">
        <v>5</v>
      </c>
      <c r="G451" s="2">
        <v>14139.81</v>
      </c>
      <c r="H451" s="2">
        <v>3203.38</v>
      </c>
      <c r="I451" s="4">
        <f t="shared" ref="I451:I501" si="7">H451/G451</f>
        <v>0.22655042748099163</v>
      </c>
    </row>
    <row r="452" spans="1:9" x14ac:dyDescent="0.3">
      <c r="A452" t="s">
        <v>458</v>
      </c>
      <c r="B452" s="5">
        <v>45553</v>
      </c>
      <c r="C452" t="s">
        <v>509</v>
      </c>
      <c r="D452" t="s">
        <v>514</v>
      </c>
      <c r="E452" t="s">
        <v>517</v>
      </c>
      <c r="F452">
        <v>1</v>
      </c>
      <c r="G452" s="2">
        <v>6972.11</v>
      </c>
      <c r="H452" s="2">
        <v>1224.1099999999999</v>
      </c>
      <c r="I452" s="4">
        <f t="shared" si="7"/>
        <v>0.17557238769898925</v>
      </c>
    </row>
    <row r="453" spans="1:9" x14ac:dyDescent="0.3">
      <c r="A453" t="s">
        <v>459</v>
      </c>
      <c r="B453" s="5">
        <v>45434</v>
      </c>
      <c r="C453" t="s">
        <v>509</v>
      </c>
      <c r="D453" t="s">
        <v>515</v>
      </c>
      <c r="E453" t="s">
        <v>518</v>
      </c>
      <c r="F453">
        <v>5</v>
      </c>
      <c r="G453" s="2">
        <v>1331.48</v>
      </c>
      <c r="H453" s="2">
        <v>330.59</v>
      </c>
      <c r="I453" s="4">
        <f t="shared" si="7"/>
        <v>0.24828761979151018</v>
      </c>
    </row>
    <row r="454" spans="1:9" x14ac:dyDescent="0.3">
      <c r="A454" t="s">
        <v>460</v>
      </c>
      <c r="B454" s="5">
        <v>45593</v>
      </c>
      <c r="C454" t="s">
        <v>508</v>
      </c>
      <c r="D454" t="s">
        <v>516</v>
      </c>
      <c r="E454" t="s">
        <v>517</v>
      </c>
      <c r="F454">
        <v>3</v>
      </c>
      <c r="G454" s="2">
        <v>19549.32</v>
      </c>
      <c r="H454" s="2">
        <v>3475.8</v>
      </c>
      <c r="I454" s="4">
        <f t="shared" si="7"/>
        <v>0.17779646555481216</v>
      </c>
    </row>
    <row r="455" spans="1:9" x14ac:dyDescent="0.3">
      <c r="A455" t="s">
        <v>461</v>
      </c>
      <c r="B455" s="5">
        <v>45416</v>
      </c>
      <c r="C455" t="s">
        <v>508</v>
      </c>
      <c r="D455" t="s">
        <v>514</v>
      </c>
      <c r="E455" t="s">
        <v>517</v>
      </c>
      <c r="F455">
        <v>3</v>
      </c>
      <c r="G455" s="2">
        <v>5323.88</v>
      </c>
      <c r="H455" s="2">
        <v>720.01</v>
      </c>
      <c r="I455" s="4">
        <f t="shared" si="7"/>
        <v>0.13524159071955039</v>
      </c>
    </row>
    <row r="456" spans="1:9" x14ac:dyDescent="0.3">
      <c r="A456" t="s">
        <v>462</v>
      </c>
      <c r="B456" s="5">
        <v>45613</v>
      </c>
      <c r="C456" t="s">
        <v>511</v>
      </c>
      <c r="D456" t="s">
        <v>513</v>
      </c>
      <c r="E456" t="s">
        <v>519</v>
      </c>
      <c r="F456">
        <v>3</v>
      </c>
      <c r="G456" s="2">
        <v>11400.26</v>
      </c>
      <c r="H456" s="2">
        <v>1340.98</v>
      </c>
      <c r="I456" s="4">
        <f t="shared" si="7"/>
        <v>0.11762714183711599</v>
      </c>
    </row>
    <row r="457" spans="1:9" x14ac:dyDescent="0.3">
      <c r="A457" t="s">
        <v>463</v>
      </c>
      <c r="B457" s="5">
        <v>45459</v>
      </c>
      <c r="C457" t="s">
        <v>509</v>
      </c>
      <c r="D457" t="s">
        <v>514</v>
      </c>
      <c r="E457" t="s">
        <v>518</v>
      </c>
      <c r="F457">
        <v>9</v>
      </c>
      <c r="G457" s="2">
        <v>4991.74</v>
      </c>
      <c r="H457" s="2">
        <v>590.57000000000005</v>
      </c>
      <c r="I457" s="4">
        <f t="shared" si="7"/>
        <v>0.11830944720678563</v>
      </c>
    </row>
    <row r="458" spans="1:9" x14ac:dyDescent="0.3">
      <c r="A458" t="s">
        <v>464</v>
      </c>
      <c r="B458" s="5">
        <v>45394</v>
      </c>
      <c r="C458" t="s">
        <v>510</v>
      </c>
      <c r="D458" t="s">
        <v>513</v>
      </c>
      <c r="E458" t="s">
        <v>519</v>
      </c>
      <c r="F458">
        <v>1</v>
      </c>
      <c r="G458" s="2">
        <v>6798.46</v>
      </c>
      <c r="H458" s="2">
        <v>1325.97</v>
      </c>
      <c r="I458" s="4">
        <f t="shared" si="7"/>
        <v>0.19503975900424508</v>
      </c>
    </row>
    <row r="459" spans="1:9" x14ac:dyDescent="0.3">
      <c r="A459" t="s">
        <v>465</v>
      </c>
      <c r="B459" s="5">
        <v>45438</v>
      </c>
      <c r="C459" t="s">
        <v>512</v>
      </c>
      <c r="D459" t="s">
        <v>514</v>
      </c>
      <c r="E459" t="s">
        <v>518</v>
      </c>
      <c r="F459">
        <v>5</v>
      </c>
      <c r="G459" s="2">
        <v>14641.05</v>
      </c>
      <c r="H459" s="2">
        <v>3644.23</v>
      </c>
      <c r="I459" s="4">
        <f t="shared" si="7"/>
        <v>0.24890496241731297</v>
      </c>
    </row>
    <row r="460" spans="1:9" x14ac:dyDescent="0.3">
      <c r="A460" t="s">
        <v>466</v>
      </c>
      <c r="B460" s="5">
        <v>45551</v>
      </c>
      <c r="C460" t="s">
        <v>510</v>
      </c>
      <c r="D460" t="s">
        <v>514</v>
      </c>
      <c r="E460" t="s">
        <v>518</v>
      </c>
      <c r="F460">
        <v>4</v>
      </c>
      <c r="G460" s="2">
        <v>8322.57</v>
      </c>
      <c r="H460" s="2">
        <v>780.41</v>
      </c>
      <c r="I460" s="4">
        <f t="shared" si="7"/>
        <v>9.3770313737222999E-2</v>
      </c>
    </row>
    <row r="461" spans="1:9" x14ac:dyDescent="0.3">
      <c r="A461" t="s">
        <v>467</v>
      </c>
      <c r="B461" s="5">
        <v>45569</v>
      </c>
      <c r="C461" t="s">
        <v>512</v>
      </c>
      <c r="D461" t="s">
        <v>516</v>
      </c>
      <c r="E461" t="s">
        <v>518</v>
      </c>
      <c r="F461">
        <v>8</v>
      </c>
      <c r="G461" s="2">
        <v>10871.37</v>
      </c>
      <c r="H461" s="2">
        <v>1938.11</v>
      </c>
      <c r="I461" s="4">
        <f t="shared" si="7"/>
        <v>0.17827651896679073</v>
      </c>
    </row>
    <row r="462" spans="1:9" x14ac:dyDescent="0.3">
      <c r="A462" t="s">
        <v>468</v>
      </c>
      <c r="B462" s="5">
        <v>45292</v>
      </c>
      <c r="C462" t="s">
        <v>511</v>
      </c>
      <c r="D462" t="s">
        <v>513</v>
      </c>
      <c r="E462" t="s">
        <v>517</v>
      </c>
      <c r="F462">
        <v>9</v>
      </c>
      <c r="G462" s="2">
        <v>16778.740000000002</v>
      </c>
      <c r="H462" s="2">
        <v>1793.17</v>
      </c>
      <c r="I462" s="4">
        <f t="shared" si="7"/>
        <v>0.10687155292948099</v>
      </c>
    </row>
    <row r="463" spans="1:9" x14ac:dyDescent="0.3">
      <c r="A463" t="s">
        <v>469</v>
      </c>
      <c r="B463" s="5">
        <v>45495</v>
      </c>
      <c r="C463" t="s">
        <v>511</v>
      </c>
      <c r="D463" t="s">
        <v>514</v>
      </c>
      <c r="E463" t="s">
        <v>518</v>
      </c>
      <c r="F463">
        <v>2</v>
      </c>
      <c r="G463" s="2">
        <v>7021.17</v>
      </c>
      <c r="H463" s="2">
        <v>1361.98</v>
      </c>
      <c r="I463" s="4">
        <f t="shared" si="7"/>
        <v>0.19398191469512915</v>
      </c>
    </row>
    <row r="464" spans="1:9" x14ac:dyDescent="0.3">
      <c r="A464" t="s">
        <v>470</v>
      </c>
      <c r="B464" s="5">
        <v>45614</v>
      </c>
      <c r="C464" t="s">
        <v>512</v>
      </c>
      <c r="D464" t="s">
        <v>516</v>
      </c>
      <c r="E464" t="s">
        <v>517</v>
      </c>
      <c r="F464">
        <v>4</v>
      </c>
      <c r="G464" s="2">
        <v>9427.7199999999993</v>
      </c>
      <c r="H464" s="2">
        <v>627.25</v>
      </c>
      <c r="I464" s="4">
        <f t="shared" si="7"/>
        <v>6.6532523239977437E-2</v>
      </c>
    </row>
    <row r="465" spans="1:9" x14ac:dyDescent="0.3">
      <c r="A465" t="s">
        <v>471</v>
      </c>
      <c r="B465" s="5">
        <v>45649</v>
      </c>
      <c r="C465" t="s">
        <v>508</v>
      </c>
      <c r="D465" t="s">
        <v>515</v>
      </c>
      <c r="E465" t="s">
        <v>518</v>
      </c>
      <c r="F465">
        <v>4</v>
      </c>
      <c r="G465" s="2">
        <v>13532.67</v>
      </c>
      <c r="H465" s="2">
        <v>2047.59</v>
      </c>
      <c r="I465" s="4">
        <f t="shared" si="7"/>
        <v>0.15130716998197694</v>
      </c>
    </row>
    <row r="466" spans="1:9" x14ac:dyDescent="0.3">
      <c r="A466" t="s">
        <v>472</v>
      </c>
      <c r="B466" s="5">
        <v>45576</v>
      </c>
      <c r="C466" t="s">
        <v>511</v>
      </c>
      <c r="D466" t="s">
        <v>516</v>
      </c>
      <c r="E466" t="s">
        <v>518</v>
      </c>
      <c r="F466">
        <v>2</v>
      </c>
      <c r="G466" s="2">
        <v>16353.95</v>
      </c>
      <c r="H466" s="2">
        <v>2302.2600000000002</v>
      </c>
      <c r="I466" s="4">
        <f t="shared" si="7"/>
        <v>0.14077699882902908</v>
      </c>
    </row>
    <row r="467" spans="1:9" x14ac:dyDescent="0.3">
      <c r="A467" t="s">
        <v>473</v>
      </c>
      <c r="B467" s="5">
        <v>45446</v>
      </c>
      <c r="C467" t="s">
        <v>512</v>
      </c>
      <c r="D467" t="s">
        <v>513</v>
      </c>
      <c r="E467" t="s">
        <v>519</v>
      </c>
      <c r="F467">
        <v>7</v>
      </c>
      <c r="G467" s="2">
        <v>19448.13</v>
      </c>
      <c r="H467" s="2">
        <v>3659.85</v>
      </c>
      <c r="I467" s="4">
        <f t="shared" si="7"/>
        <v>0.18818518798465456</v>
      </c>
    </row>
    <row r="468" spans="1:9" x14ac:dyDescent="0.3">
      <c r="A468" t="s">
        <v>474</v>
      </c>
      <c r="B468" s="5">
        <v>45311</v>
      </c>
      <c r="C468" t="s">
        <v>511</v>
      </c>
      <c r="D468" t="s">
        <v>515</v>
      </c>
      <c r="E468" t="s">
        <v>518</v>
      </c>
      <c r="F468">
        <v>5</v>
      </c>
      <c r="G468" s="2">
        <v>5027.87</v>
      </c>
      <c r="H468" s="2">
        <v>1047.0999999999999</v>
      </c>
      <c r="I468" s="4">
        <f t="shared" si="7"/>
        <v>0.20825916342307974</v>
      </c>
    </row>
    <row r="469" spans="1:9" x14ac:dyDescent="0.3">
      <c r="A469" t="s">
        <v>475</v>
      </c>
      <c r="B469" s="5">
        <v>45636</v>
      </c>
      <c r="C469" t="s">
        <v>510</v>
      </c>
      <c r="D469" t="s">
        <v>515</v>
      </c>
      <c r="E469" t="s">
        <v>518</v>
      </c>
      <c r="F469">
        <v>6</v>
      </c>
      <c r="G469" s="2">
        <v>11570.44</v>
      </c>
      <c r="H469" s="2">
        <v>1316.49</v>
      </c>
      <c r="I469" s="4">
        <f t="shared" si="7"/>
        <v>0.11378046124434334</v>
      </c>
    </row>
    <row r="470" spans="1:9" x14ac:dyDescent="0.3">
      <c r="A470" t="s">
        <v>476</v>
      </c>
      <c r="B470" s="5">
        <v>45601</v>
      </c>
      <c r="C470" t="s">
        <v>512</v>
      </c>
      <c r="D470" t="s">
        <v>515</v>
      </c>
      <c r="E470" t="s">
        <v>519</v>
      </c>
      <c r="F470">
        <v>3</v>
      </c>
      <c r="G470" s="2">
        <v>3505.35</v>
      </c>
      <c r="H470" s="2">
        <v>719.74</v>
      </c>
      <c r="I470" s="4">
        <f t="shared" si="7"/>
        <v>0.20532614432225027</v>
      </c>
    </row>
    <row r="471" spans="1:9" x14ac:dyDescent="0.3">
      <c r="A471" t="s">
        <v>477</v>
      </c>
      <c r="B471" s="5">
        <v>45536</v>
      </c>
      <c r="C471" t="s">
        <v>512</v>
      </c>
      <c r="D471" t="s">
        <v>514</v>
      </c>
      <c r="E471" t="s">
        <v>518</v>
      </c>
      <c r="F471">
        <v>7</v>
      </c>
      <c r="G471" s="2">
        <v>3764.26</v>
      </c>
      <c r="H471" s="2">
        <v>485.3</v>
      </c>
      <c r="I471" s="4">
        <f t="shared" si="7"/>
        <v>0.12892308182750395</v>
      </c>
    </row>
    <row r="472" spans="1:9" x14ac:dyDescent="0.3">
      <c r="A472" t="s">
        <v>478</v>
      </c>
      <c r="B472" s="5">
        <v>45591</v>
      </c>
      <c r="C472" t="s">
        <v>510</v>
      </c>
      <c r="D472" t="s">
        <v>516</v>
      </c>
      <c r="E472" t="s">
        <v>519</v>
      </c>
      <c r="F472">
        <v>9</v>
      </c>
      <c r="G472" s="2">
        <v>13452.91</v>
      </c>
      <c r="H472" s="2">
        <v>1066.73</v>
      </c>
      <c r="I472" s="4">
        <f t="shared" si="7"/>
        <v>7.9293624948059568E-2</v>
      </c>
    </row>
    <row r="473" spans="1:9" x14ac:dyDescent="0.3">
      <c r="A473" t="s">
        <v>479</v>
      </c>
      <c r="B473" s="5">
        <v>45319</v>
      </c>
      <c r="C473" t="s">
        <v>510</v>
      </c>
      <c r="D473" t="s">
        <v>513</v>
      </c>
      <c r="E473" t="s">
        <v>517</v>
      </c>
      <c r="F473">
        <v>3</v>
      </c>
      <c r="G473" s="2">
        <v>16393.12</v>
      </c>
      <c r="H473" s="2">
        <v>3625.75</v>
      </c>
      <c r="I473" s="4">
        <f t="shared" si="7"/>
        <v>0.22117510272602167</v>
      </c>
    </row>
    <row r="474" spans="1:9" x14ac:dyDescent="0.3">
      <c r="A474" t="s">
        <v>480</v>
      </c>
      <c r="B474" s="5">
        <v>45476</v>
      </c>
      <c r="C474" t="s">
        <v>508</v>
      </c>
      <c r="D474" t="s">
        <v>516</v>
      </c>
      <c r="E474" t="s">
        <v>517</v>
      </c>
      <c r="F474">
        <v>2</v>
      </c>
      <c r="G474" s="2">
        <v>715.27</v>
      </c>
      <c r="H474" s="2">
        <v>78.16</v>
      </c>
      <c r="I474" s="4">
        <f t="shared" si="7"/>
        <v>0.10927342122555118</v>
      </c>
    </row>
    <row r="475" spans="1:9" x14ac:dyDescent="0.3">
      <c r="A475" t="s">
        <v>481</v>
      </c>
      <c r="B475" s="5">
        <v>45420</v>
      </c>
      <c r="C475" t="s">
        <v>509</v>
      </c>
      <c r="D475" t="s">
        <v>516</v>
      </c>
      <c r="E475" t="s">
        <v>519</v>
      </c>
      <c r="F475">
        <v>1</v>
      </c>
      <c r="G475" s="2">
        <v>4300.21</v>
      </c>
      <c r="H475" s="2">
        <v>654</v>
      </c>
      <c r="I475" s="4">
        <f t="shared" si="7"/>
        <v>0.15208559581973904</v>
      </c>
    </row>
    <row r="476" spans="1:9" x14ac:dyDescent="0.3">
      <c r="A476" t="s">
        <v>482</v>
      </c>
      <c r="B476" s="5">
        <v>45395</v>
      </c>
      <c r="C476" t="s">
        <v>508</v>
      </c>
      <c r="D476" t="s">
        <v>516</v>
      </c>
      <c r="E476" t="s">
        <v>519</v>
      </c>
      <c r="F476">
        <v>4</v>
      </c>
      <c r="G476" s="2">
        <v>17932.22</v>
      </c>
      <c r="H476" s="2">
        <v>1562.22</v>
      </c>
      <c r="I476" s="4">
        <f t="shared" si="7"/>
        <v>8.7118047849067209E-2</v>
      </c>
    </row>
    <row r="477" spans="1:9" x14ac:dyDescent="0.3">
      <c r="A477" t="s">
        <v>483</v>
      </c>
      <c r="B477" s="5">
        <v>45352</v>
      </c>
      <c r="C477" t="s">
        <v>512</v>
      </c>
      <c r="D477" t="s">
        <v>513</v>
      </c>
      <c r="E477" t="s">
        <v>519</v>
      </c>
      <c r="F477">
        <v>8</v>
      </c>
      <c r="G477" s="2">
        <v>12447.81</v>
      </c>
      <c r="H477" s="2">
        <v>1574.17</v>
      </c>
      <c r="I477" s="4">
        <f t="shared" si="7"/>
        <v>0.12646160248268573</v>
      </c>
    </row>
    <row r="478" spans="1:9" x14ac:dyDescent="0.3">
      <c r="A478" t="s">
        <v>484</v>
      </c>
      <c r="B478" s="5">
        <v>45541</v>
      </c>
      <c r="C478" t="s">
        <v>509</v>
      </c>
      <c r="D478" t="s">
        <v>514</v>
      </c>
      <c r="E478" t="s">
        <v>518</v>
      </c>
      <c r="F478">
        <v>4</v>
      </c>
      <c r="G478" s="2">
        <v>7948.28</v>
      </c>
      <c r="H478" s="2">
        <v>921</v>
      </c>
      <c r="I478" s="4">
        <f t="shared" si="7"/>
        <v>0.11587412622605142</v>
      </c>
    </row>
    <row r="479" spans="1:9" x14ac:dyDescent="0.3">
      <c r="A479" t="s">
        <v>485</v>
      </c>
      <c r="B479" s="5">
        <v>45333</v>
      </c>
      <c r="C479" t="s">
        <v>511</v>
      </c>
      <c r="D479" t="s">
        <v>513</v>
      </c>
      <c r="E479" t="s">
        <v>519</v>
      </c>
      <c r="F479">
        <v>3</v>
      </c>
      <c r="G479" s="2">
        <v>19780.060000000001</v>
      </c>
      <c r="H479" s="2">
        <v>1577.11</v>
      </c>
      <c r="I479" s="4">
        <f t="shared" si="7"/>
        <v>7.9732316282154853E-2</v>
      </c>
    </row>
    <row r="480" spans="1:9" x14ac:dyDescent="0.3">
      <c r="A480" t="s">
        <v>486</v>
      </c>
      <c r="B480" s="5">
        <v>45427</v>
      </c>
      <c r="C480" t="s">
        <v>508</v>
      </c>
      <c r="D480" t="s">
        <v>514</v>
      </c>
      <c r="E480" t="s">
        <v>517</v>
      </c>
      <c r="F480">
        <v>6</v>
      </c>
      <c r="G480" s="2">
        <v>19378.009999999998</v>
      </c>
      <c r="H480" s="2">
        <v>2534.5500000000002</v>
      </c>
      <c r="I480" s="4">
        <f t="shared" si="7"/>
        <v>0.13079516420932802</v>
      </c>
    </row>
    <row r="481" spans="1:9" x14ac:dyDescent="0.3">
      <c r="A481" t="s">
        <v>487</v>
      </c>
      <c r="B481" s="5">
        <v>45392</v>
      </c>
      <c r="C481" t="s">
        <v>511</v>
      </c>
      <c r="D481" t="s">
        <v>513</v>
      </c>
      <c r="E481" t="s">
        <v>519</v>
      </c>
      <c r="F481">
        <v>2</v>
      </c>
      <c r="G481" s="2">
        <v>12257.34</v>
      </c>
      <c r="H481" s="2">
        <v>1065.8499999999999</v>
      </c>
      <c r="I481" s="4">
        <f t="shared" si="7"/>
        <v>8.6956060613477298E-2</v>
      </c>
    </row>
    <row r="482" spans="1:9" x14ac:dyDescent="0.3">
      <c r="A482" t="s">
        <v>488</v>
      </c>
      <c r="B482" s="5">
        <v>45500</v>
      </c>
      <c r="C482" t="s">
        <v>510</v>
      </c>
      <c r="D482" t="s">
        <v>513</v>
      </c>
      <c r="E482" t="s">
        <v>518</v>
      </c>
      <c r="F482">
        <v>5</v>
      </c>
      <c r="G482" s="2">
        <v>10948.46</v>
      </c>
      <c r="H482" s="2">
        <v>2420.4899999999998</v>
      </c>
      <c r="I482" s="4">
        <f t="shared" si="7"/>
        <v>0.22108040765550588</v>
      </c>
    </row>
    <row r="483" spans="1:9" x14ac:dyDescent="0.3">
      <c r="A483" t="s">
        <v>489</v>
      </c>
      <c r="B483" s="5">
        <v>45428</v>
      </c>
      <c r="C483" t="s">
        <v>510</v>
      </c>
      <c r="D483" t="s">
        <v>516</v>
      </c>
      <c r="E483" t="s">
        <v>517</v>
      </c>
      <c r="F483">
        <v>1</v>
      </c>
      <c r="G483" s="2">
        <v>6870.95</v>
      </c>
      <c r="H483" s="2">
        <v>1182.3800000000001</v>
      </c>
      <c r="I483" s="4">
        <f t="shared" si="7"/>
        <v>0.17208391852655019</v>
      </c>
    </row>
    <row r="484" spans="1:9" x14ac:dyDescent="0.3">
      <c r="A484" t="s">
        <v>490</v>
      </c>
      <c r="B484" s="5">
        <v>45471</v>
      </c>
      <c r="C484" t="s">
        <v>510</v>
      </c>
      <c r="D484" t="s">
        <v>515</v>
      </c>
      <c r="E484" t="s">
        <v>518</v>
      </c>
      <c r="F484">
        <v>8</v>
      </c>
      <c r="G484" s="2">
        <v>16898</v>
      </c>
      <c r="H484" s="2">
        <v>2962.16</v>
      </c>
      <c r="I484" s="4">
        <f t="shared" si="7"/>
        <v>0.17529648479109952</v>
      </c>
    </row>
    <row r="485" spans="1:9" x14ac:dyDescent="0.3">
      <c r="A485" t="s">
        <v>491</v>
      </c>
      <c r="B485" s="5">
        <v>45348</v>
      </c>
      <c r="C485" t="s">
        <v>512</v>
      </c>
      <c r="D485" t="s">
        <v>514</v>
      </c>
      <c r="E485" t="s">
        <v>518</v>
      </c>
      <c r="F485">
        <v>6</v>
      </c>
      <c r="G485" s="2">
        <v>6541.76</v>
      </c>
      <c r="H485" s="2">
        <v>1251.19</v>
      </c>
      <c r="I485" s="4">
        <f t="shared" si="7"/>
        <v>0.19126198454238616</v>
      </c>
    </row>
    <row r="486" spans="1:9" x14ac:dyDescent="0.3">
      <c r="A486" t="s">
        <v>492</v>
      </c>
      <c r="B486" s="5">
        <v>45574</v>
      </c>
      <c r="C486" t="s">
        <v>511</v>
      </c>
      <c r="D486" t="s">
        <v>515</v>
      </c>
      <c r="E486" t="s">
        <v>517</v>
      </c>
      <c r="F486">
        <v>4</v>
      </c>
      <c r="G486" s="2">
        <v>9860.1299999999992</v>
      </c>
      <c r="H486" s="2">
        <v>657.38</v>
      </c>
      <c r="I486" s="4">
        <f t="shared" si="7"/>
        <v>6.6670520571229797E-2</v>
      </c>
    </row>
    <row r="487" spans="1:9" x14ac:dyDescent="0.3">
      <c r="A487" t="s">
        <v>493</v>
      </c>
      <c r="B487" s="5">
        <v>45467</v>
      </c>
      <c r="C487" t="s">
        <v>508</v>
      </c>
      <c r="D487" t="s">
        <v>513</v>
      </c>
      <c r="E487" t="s">
        <v>518</v>
      </c>
      <c r="F487">
        <v>6</v>
      </c>
      <c r="G487" s="2">
        <v>9888.75</v>
      </c>
      <c r="H487" s="2">
        <v>1861.03</v>
      </c>
      <c r="I487" s="4">
        <f t="shared" si="7"/>
        <v>0.18819668815573251</v>
      </c>
    </row>
    <row r="488" spans="1:9" x14ac:dyDescent="0.3">
      <c r="A488" t="s">
        <v>494</v>
      </c>
      <c r="B488" s="5">
        <v>45546</v>
      </c>
      <c r="C488" t="s">
        <v>512</v>
      </c>
      <c r="D488" t="s">
        <v>514</v>
      </c>
      <c r="E488" t="s">
        <v>519</v>
      </c>
      <c r="F488">
        <v>4</v>
      </c>
      <c r="G488" s="2">
        <v>13812.09</v>
      </c>
      <c r="H488" s="2">
        <v>3379.72</v>
      </c>
      <c r="I488" s="4">
        <f t="shared" si="7"/>
        <v>0.24469287414142246</v>
      </c>
    </row>
    <row r="489" spans="1:9" x14ac:dyDescent="0.3">
      <c r="A489" t="s">
        <v>495</v>
      </c>
      <c r="B489" s="5">
        <v>45559</v>
      </c>
      <c r="C489" t="s">
        <v>510</v>
      </c>
      <c r="D489" t="s">
        <v>515</v>
      </c>
      <c r="E489" t="s">
        <v>517</v>
      </c>
      <c r="F489">
        <v>3</v>
      </c>
      <c r="G489" s="2">
        <v>7938.74</v>
      </c>
      <c r="H489" s="2">
        <v>1366.96</v>
      </c>
      <c r="I489" s="4">
        <f t="shared" si="7"/>
        <v>0.17218853369678314</v>
      </c>
    </row>
    <row r="490" spans="1:9" x14ac:dyDescent="0.3">
      <c r="A490" t="s">
        <v>496</v>
      </c>
      <c r="B490" s="5">
        <v>45619</v>
      </c>
      <c r="C490" t="s">
        <v>508</v>
      </c>
      <c r="D490" t="s">
        <v>513</v>
      </c>
      <c r="E490" t="s">
        <v>519</v>
      </c>
      <c r="F490">
        <v>9</v>
      </c>
      <c r="G490" s="2">
        <v>11412.53</v>
      </c>
      <c r="H490" s="2">
        <v>2092.7199999999998</v>
      </c>
      <c r="I490" s="4">
        <f t="shared" si="7"/>
        <v>0.18337038325419514</v>
      </c>
    </row>
    <row r="491" spans="1:9" x14ac:dyDescent="0.3">
      <c r="A491" t="s">
        <v>497</v>
      </c>
      <c r="B491" s="5">
        <v>45337</v>
      </c>
      <c r="C491" t="s">
        <v>510</v>
      </c>
      <c r="D491" t="s">
        <v>514</v>
      </c>
      <c r="E491" t="s">
        <v>518</v>
      </c>
      <c r="F491">
        <v>3</v>
      </c>
      <c r="G491" s="2">
        <v>14216.17</v>
      </c>
      <c r="H491" s="2">
        <v>1137.6199999999999</v>
      </c>
      <c r="I491" s="4">
        <f t="shared" si="7"/>
        <v>8.0022959770458563E-2</v>
      </c>
    </row>
    <row r="492" spans="1:9" x14ac:dyDescent="0.3">
      <c r="A492" t="s">
        <v>498</v>
      </c>
      <c r="B492" s="5">
        <v>45325</v>
      </c>
      <c r="C492" t="s">
        <v>510</v>
      </c>
      <c r="D492" t="s">
        <v>514</v>
      </c>
      <c r="E492" t="s">
        <v>519</v>
      </c>
      <c r="F492">
        <v>9</v>
      </c>
      <c r="G492" s="2">
        <v>3472.67</v>
      </c>
      <c r="H492" s="2">
        <v>465.65</v>
      </c>
      <c r="I492" s="4">
        <f t="shared" si="7"/>
        <v>0.13408990776549456</v>
      </c>
    </row>
    <row r="493" spans="1:9" x14ac:dyDescent="0.3">
      <c r="A493" t="s">
        <v>499</v>
      </c>
      <c r="B493" s="5">
        <v>45602</v>
      </c>
      <c r="C493" t="s">
        <v>511</v>
      </c>
      <c r="D493" t="s">
        <v>514</v>
      </c>
      <c r="E493" t="s">
        <v>517</v>
      </c>
      <c r="F493">
        <v>5</v>
      </c>
      <c r="G493" s="2">
        <v>9564.83</v>
      </c>
      <c r="H493" s="2">
        <v>711.19</v>
      </c>
      <c r="I493" s="4">
        <f t="shared" si="7"/>
        <v>7.4354693183255743E-2</v>
      </c>
    </row>
    <row r="494" spans="1:9" x14ac:dyDescent="0.3">
      <c r="A494" t="s">
        <v>500</v>
      </c>
      <c r="B494" s="5">
        <v>45298</v>
      </c>
      <c r="C494" t="s">
        <v>509</v>
      </c>
      <c r="D494" t="s">
        <v>515</v>
      </c>
      <c r="E494" t="s">
        <v>518</v>
      </c>
      <c r="F494">
        <v>8</v>
      </c>
      <c r="G494" s="2">
        <v>2511.29</v>
      </c>
      <c r="H494" s="2">
        <v>520.48</v>
      </c>
      <c r="I494" s="4">
        <f t="shared" si="7"/>
        <v>0.20725603176056928</v>
      </c>
    </row>
    <row r="495" spans="1:9" x14ac:dyDescent="0.3">
      <c r="A495" t="s">
        <v>501</v>
      </c>
      <c r="B495" s="5">
        <v>45611</v>
      </c>
      <c r="C495" t="s">
        <v>511</v>
      </c>
      <c r="D495" t="s">
        <v>515</v>
      </c>
      <c r="E495" t="s">
        <v>519</v>
      </c>
      <c r="F495">
        <v>3</v>
      </c>
      <c r="G495" s="2">
        <v>8746.15</v>
      </c>
      <c r="H495" s="2">
        <v>1610.84</v>
      </c>
      <c r="I495" s="4">
        <f t="shared" si="7"/>
        <v>0.18417703789667453</v>
      </c>
    </row>
    <row r="496" spans="1:9" x14ac:dyDescent="0.3">
      <c r="A496" t="s">
        <v>502</v>
      </c>
      <c r="B496" s="5">
        <v>45532</v>
      </c>
      <c r="C496" t="s">
        <v>510</v>
      </c>
      <c r="D496" t="s">
        <v>516</v>
      </c>
      <c r="E496" t="s">
        <v>518</v>
      </c>
      <c r="F496">
        <v>5</v>
      </c>
      <c r="G496" s="2">
        <v>9558.49</v>
      </c>
      <c r="H496" s="2">
        <v>1859.65</v>
      </c>
      <c r="I496" s="4">
        <f t="shared" si="7"/>
        <v>0.19455478846554217</v>
      </c>
    </row>
    <row r="497" spans="1:9" x14ac:dyDescent="0.3">
      <c r="A497" t="s">
        <v>503</v>
      </c>
      <c r="B497" s="5">
        <v>45425</v>
      </c>
      <c r="C497" t="s">
        <v>510</v>
      </c>
      <c r="D497" t="s">
        <v>516</v>
      </c>
      <c r="E497" t="s">
        <v>518</v>
      </c>
      <c r="F497">
        <v>6</v>
      </c>
      <c r="G497" s="2">
        <v>12808.16</v>
      </c>
      <c r="H497" s="2">
        <v>2330.3000000000002</v>
      </c>
      <c r="I497" s="4">
        <f t="shared" si="7"/>
        <v>0.18193870157774419</v>
      </c>
    </row>
    <row r="498" spans="1:9" x14ac:dyDescent="0.3">
      <c r="A498" t="s">
        <v>504</v>
      </c>
      <c r="B498" s="5">
        <v>45630</v>
      </c>
      <c r="C498" t="s">
        <v>508</v>
      </c>
      <c r="D498" t="s">
        <v>515</v>
      </c>
      <c r="E498" t="s">
        <v>519</v>
      </c>
      <c r="F498">
        <v>7</v>
      </c>
      <c r="G498" s="2">
        <v>5084.82</v>
      </c>
      <c r="H498" s="2">
        <v>562.70000000000005</v>
      </c>
      <c r="I498" s="4">
        <f t="shared" si="7"/>
        <v>0.11066271765765555</v>
      </c>
    </row>
    <row r="499" spans="1:9" x14ac:dyDescent="0.3">
      <c r="A499" t="s">
        <v>505</v>
      </c>
      <c r="B499" s="5">
        <v>45637</v>
      </c>
      <c r="C499" t="s">
        <v>511</v>
      </c>
      <c r="D499" t="s">
        <v>514</v>
      </c>
      <c r="E499" t="s">
        <v>519</v>
      </c>
      <c r="F499">
        <v>4</v>
      </c>
      <c r="G499" s="2">
        <v>4923.09</v>
      </c>
      <c r="H499" s="2">
        <v>793.81</v>
      </c>
      <c r="I499" s="4">
        <f t="shared" si="7"/>
        <v>0.161242227950332</v>
      </c>
    </row>
    <row r="500" spans="1:9" x14ac:dyDescent="0.3">
      <c r="A500" t="s">
        <v>506</v>
      </c>
      <c r="B500" s="5">
        <v>45527</v>
      </c>
      <c r="C500" t="s">
        <v>508</v>
      </c>
      <c r="D500" t="s">
        <v>516</v>
      </c>
      <c r="E500" t="s">
        <v>518</v>
      </c>
      <c r="F500">
        <v>4</v>
      </c>
      <c r="G500" s="2">
        <v>13476.95</v>
      </c>
      <c r="H500" s="2">
        <v>1187.17</v>
      </c>
      <c r="I500" s="4">
        <f t="shared" si="7"/>
        <v>8.808892219678785E-2</v>
      </c>
    </row>
    <row r="501" spans="1:9" x14ac:dyDescent="0.3">
      <c r="A501" t="s">
        <v>507</v>
      </c>
      <c r="B501" s="5">
        <v>45342</v>
      </c>
      <c r="C501" t="s">
        <v>510</v>
      </c>
      <c r="D501" t="s">
        <v>514</v>
      </c>
      <c r="E501" t="s">
        <v>519</v>
      </c>
      <c r="F501">
        <v>10</v>
      </c>
      <c r="G501" s="2">
        <v>15621.08</v>
      </c>
      <c r="H501" s="2">
        <v>3603.1</v>
      </c>
      <c r="I501" s="4">
        <f t="shared" si="7"/>
        <v>0.23065626704427605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Ragini Sunil Rane</dc:creator>
  <cp:lastModifiedBy>Chetashree Rane</cp:lastModifiedBy>
  <dcterms:created xsi:type="dcterms:W3CDTF">2026-01-16T10:01:12Z</dcterms:created>
  <dcterms:modified xsi:type="dcterms:W3CDTF">2026-01-16T10:17:35Z</dcterms:modified>
</cp:coreProperties>
</file>